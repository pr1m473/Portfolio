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CF9226A1-D297-41A4-BE76-EC3F0BED1885}" xr6:coauthVersionLast="47" xr6:coauthVersionMax="47" xr10:uidLastSave="{00000000-0000-0000-0000-000000000000}"/>
  <bookViews>
    <workbookView xWindow="-120" yWindow="-120" windowWidth="29040" windowHeight="15840" activeTab="1" xr2:uid="{87D978F3-5281-7941-BC9C-5B34AD3DF02C}"/>
  </bookViews>
  <sheets>
    <sheet name="בית" sheetId="5" r:id="rId1"/>
    <sheet name="מחירון" sheetId="1" r:id="rId2"/>
    <sheet name="Template" sheetId="4" r:id="rId3"/>
  </sheets>
  <definedNames>
    <definedName name="_xlnm._FilterDatabase" localSheetId="1" hidden="1">מחירון!$A$1:$D$244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4" l="1"/>
  <c r="H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12" i="4"/>
  <c r="C12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48" i="1"/>
  <c r="D13" i="4" s="1"/>
  <c r="F2" i="1"/>
  <c r="E24" i="1"/>
  <c r="F24" i="1" s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E43" i="1"/>
  <c r="F43" i="1" s="1"/>
  <c r="F44" i="1"/>
  <c r="E45" i="1"/>
  <c r="F45" i="1" s="1"/>
  <c r="F46" i="1"/>
  <c r="F47" i="1"/>
  <c r="F48" i="1"/>
  <c r="F49" i="1"/>
  <c r="F50" i="1"/>
  <c r="F51" i="1"/>
  <c r="F52" i="1"/>
  <c r="F53" i="1"/>
  <c r="E54" i="1"/>
  <c r="F54" i="1" s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E71" i="1"/>
  <c r="F71" i="1" s="1"/>
  <c r="E72" i="1"/>
  <c r="F72" i="1" s="1"/>
  <c r="F73" i="1"/>
  <c r="F74" i="1"/>
  <c r="E75" i="1"/>
  <c r="F75" i="1" s="1"/>
  <c r="E76" i="1"/>
  <c r="F76" i="1" s="1"/>
  <c r="F77" i="1"/>
  <c r="F78" i="1"/>
  <c r="F79" i="1"/>
  <c r="F80" i="1"/>
  <c r="E81" i="1"/>
  <c r="F81" i="1" s="1"/>
  <c r="E82" i="1"/>
  <c r="F82" i="1" s="1"/>
  <c r="F83" i="1"/>
  <c r="E84" i="1"/>
  <c r="F84" i="1" s="1"/>
  <c r="F85" i="1"/>
  <c r="F86" i="1"/>
  <c r="F87" i="1"/>
  <c r="F88" i="1"/>
  <c r="F89" i="1"/>
  <c r="E90" i="1"/>
  <c r="F90" i="1" s="1"/>
  <c r="E91" i="1"/>
  <c r="F91" i="1" s="1"/>
  <c r="F92" i="1"/>
  <c r="F93" i="1"/>
  <c r="F94" i="1"/>
  <c r="E95" i="1"/>
  <c r="F95" i="1" s="1"/>
  <c r="F96" i="1"/>
  <c r="E97" i="1"/>
  <c r="F97" i="1" s="1"/>
  <c r="E98" i="1"/>
  <c r="F98" i="1" s="1"/>
  <c r="E99" i="1"/>
  <c r="F99" i="1" s="1"/>
  <c r="F100" i="1"/>
  <c r="F101" i="1"/>
  <c r="F102" i="1"/>
  <c r="F103" i="1"/>
  <c r="F104" i="1"/>
  <c r="F105" i="1"/>
  <c r="F106" i="1"/>
  <c r="F107" i="1"/>
  <c r="F108" i="1"/>
  <c r="F109" i="1"/>
  <c r="E110" i="1"/>
  <c r="F110" i="1" s="1"/>
  <c r="F111" i="1"/>
  <c r="F112" i="1"/>
  <c r="F113" i="1"/>
  <c r="E114" i="1"/>
  <c r="F114" i="1" s="1"/>
  <c r="E115" i="1"/>
  <c r="F115" i="1" s="1"/>
  <c r="E116" i="1"/>
  <c r="F116" i="1" s="1"/>
  <c r="F117" i="1"/>
  <c r="E118" i="1"/>
  <c r="F118" i="1" s="1"/>
  <c r="F119" i="1"/>
  <c r="E120" i="1"/>
  <c r="F120" i="1" s="1"/>
  <c r="F121" i="1"/>
  <c r="E122" i="1"/>
  <c r="F122" i="1" s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E139" i="1"/>
  <c r="F139" i="1" s="1"/>
  <c r="F140" i="1"/>
  <c r="F141" i="1"/>
  <c r="F142" i="1"/>
  <c r="F143" i="1"/>
  <c r="E144" i="1"/>
  <c r="F144" i="1" s="1"/>
  <c r="F145" i="1"/>
  <c r="F146" i="1"/>
  <c r="E147" i="1"/>
  <c r="F147" i="1" s="1"/>
  <c r="F149" i="1"/>
  <c r="F150" i="1"/>
  <c r="E151" i="1"/>
  <c r="F151" i="1" s="1"/>
  <c r="F152" i="1"/>
  <c r="E153" i="1"/>
  <c r="F153" i="1" s="1"/>
  <c r="F154" i="1"/>
  <c r="F155" i="1"/>
  <c r="F156" i="1"/>
  <c r="F157" i="1"/>
  <c r="F158" i="1"/>
  <c r="F159" i="1"/>
  <c r="E160" i="1"/>
  <c r="F160" i="1" s="1"/>
  <c r="F161" i="1"/>
  <c r="F162" i="1"/>
  <c r="F163" i="1"/>
  <c r="F164" i="1"/>
  <c r="F165" i="1"/>
  <c r="F166" i="1"/>
  <c r="F167" i="1"/>
  <c r="F168" i="1"/>
  <c r="F169" i="1"/>
  <c r="F170" i="1"/>
  <c r="F171" i="1"/>
  <c r="E172" i="1"/>
  <c r="F172" i="1" s="1"/>
  <c r="F173" i="1"/>
  <c r="F174" i="1"/>
  <c r="F175" i="1"/>
  <c r="F176" i="1"/>
  <c r="F177" i="1"/>
  <c r="F178" i="1"/>
  <c r="F179" i="1"/>
  <c r="F180" i="1"/>
  <c r="F181" i="1"/>
  <c r="F182" i="1"/>
  <c r="F183" i="1"/>
  <c r="E184" i="1"/>
  <c r="F184" i="1" s="1"/>
  <c r="F185" i="1"/>
  <c r="F186" i="1"/>
  <c r="F187" i="1"/>
  <c r="F188" i="1"/>
  <c r="F189" i="1"/>
  <c r="E190" i="1"/>
  <c r="F190" i="1" s="1"/>
  <c r="F191" i="1"/>
  <c r="F192" i="1"/>
  <c r="F193" i="1"/>
  <c r="F194" i="1"/>
  <c r="F195" i="1"/>
  <c r="F196" i="1"/>
  <c r="F197" i="1"/>
  <c r="F198" i="1"/>
  <c r="E199" i="1"/>
  <c r="F199" i="1" s="1"/>
  <c r="F200" i="1"/>
  <c r="F201" i="1"/>
  <c r="E202" i="1"/>
  <c r="F202" i="1" s="1"/>
  <c r="E203" i="1"/>
  <c r="F203" i="1" s="1"/>
  <c r="F204" i="1"/>
  <c r="F205" i="1"/>
  <c r="E206" i="1"/>
  <c r="F206" i="1" s="1"/>
  <c r="E207" i="1"/>
  <c r="F207" i="1" s="1"/>
  <c r="E208" i="1"/>
  <c r="F208" i="1" s="1"/>
  <c r="E209" i="1"/>
  <c r="F209" i="1" s="1"/>
  <c r="E210" i="1"/>
  <c r="F210" i="1" s="1"/>
  <c r="F211" i="1"/>
  <c r="E212" i="1"/>
  <c r="F212" i="1" s="1"/>
  <c r="F213" i="1"/>
  <c r="F214" i="1"/>
  <c r="E215" i="1"/>
  <c r="F215" i="1" s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C4" i="4" l="1"/>
  <c r="C7" i="4" s="1"/>
  <c r="D7" i="4" s="1"/>
  <c r="H6" i="4" s="1"/>
  <c r="J6" i="4" s="1"/>
  <c r="D4" i="4" l="1"/>
  <c r="H4" i="4" s="1"/>
  <c r="J4" i="4" s="1"/>
</calcChain>
</file>

<file path=xl/sharedStrings.xml><?xml version="1.0" encoding="utf-8"?>
<sst xmlns="http://schemas.openxmlformats.org/spreadsheetml/2006/main" count="696" uniqueCount="272">
  <si>
    <t xml:space="preserve">רכיבים </t>
  </si>
  <si>
    <t>פלפל אנגלי שלם 1 ק"ג - כהן</t>
  </si>
  <si>
    <t>אורז צבעוני מעורב פרא 1 ק"ג - כהן</t>
  </si>
  <si>
    <t>נייר אפיה סיליקון פרימיום 40-60 500 יח' - כהן</t>
  </si>
  <si>
    <t>חלב שקדים - אלפרו(8 יח' למכירה בקרטון)ללא חזרות</t>
  </si>
  <si>
    <t>חלב שקדים עם אורז ויטריז(10 יח' בקרטון)ללא חזרות</t>
  </si>
  <si>
    <t>טבסקו ירוק קטן 60 מל (12 יח' למכירה בקרטון)</t>
  </si>
  <si>
    <t>חמוציות חתוך - עדה חרדית</t>
  </si>
  <si>
    <t>מרגרינה (מחמאה) 200 גרם 40 יחידות</t>
  </si>
  <si>
    <t>לתת בהיר IT 14 שק 25 ק"ג (ללא החזרות)</t>
  </si>
  <si>
    <t>לתת כהה IT 110 שק 25 ק"ג (ללא החזרות)</t>
  </si>
  <si>
    <t>גלוקוזה 85-42 25 ק"ג - גלעם</t>
  </si>
  <si>
    <t>זית קלמטה מגולען יווני לנדא - כהן</t>
  </si>
  <si>
    <t>חלפיניו A10 - כהן</t>
  </si>
  <si>
    <t>מלפפון במלח A/2 7-9 - פרי חן</t>
  </si>
  <si>
    <t>שיפקה 2.5 ק"ג מסונן - פרי חן</t>
  </si>
  <si>
    <t>עגבניות מקולפות איטלקי STELLA A/9 - כהן</t>
  </si>
  <si>
    <t>כמות</t>
  </si>
  <si>
    <t>מחיר</t>
  </si>
  <si>
    <t xml:space="preserve">סוג יחידה </t>
  </si>
  <si>
    <t>אגוז מוסקט טחון-  כהן</t>
  </si>
  <si>
    <t>שום טחון - כהן</t>
  </si>
  <si>
    <t>הל טחון - כהן</t>
  </si>
  <si>
    <t>זנגביל טחון - כהן</t>
  </si>
  <si>
    <t>זעתר בלאדי - כהן</t>
  </si>
  <si>
    <t>כוסברה גרעינים - כהן</t>
  </si>
  <si>
    <t>כורכום טחון - כהן</t>
  </si>
  <si>
    <t>כמון טחון - כהן</t>
  </si>
  <si>
    <t>סומק טחון איכותי - כהן</t>
  </si>
  <si>
    <t>קינמון טחון - כהן</t>
  </si>
  <si>
    <t>שום גבישי - כהן</t>
  </si>
  <si>
    <t>קארי - כהן</t>
  </si>
  <si>
    <t>פלפל שחור טחון- כהן</t>
  </si>
  <si>
    <t>פלפל לבן טחון - כהן</t>
  </si>
  <si>
    <t>פלפל שחור גרוס דק- כהן</t>
  </si>
  <si>
    <t>ציפורן שלם - כהן</t>
  </si>
  <si>
    <t>הל שלם ג'מבו - כהן</t>
  </si>
  <si>
    <t>כוכב אניס - כהן</t>
  </si>
  <si>
    <t>לימון פרסי לבן - כהן</t>
  </si>
  <si>
    <t>קימל שלם - כהן</t>
  </si>
  <si>
    <t>שומר שלם- כהן</t>
  </si>
  <si>
    <t xml:space="preserve">קינמון מקלות קצר 8 סמ - כהן </t>
  </si>
  <si>
    <t>יחידה</t>
  </si>
  <si>
    <t xml:space="preserve">מקלות וניל מדגסקר 10 יח' </t>
  </si>
  <si>
    <t>חרדל גרגירים צהוב  - כהן</t>
  </si>
  <si>
    <t>קצח  - כהן</t>
  </si>
  <si>
    <t>בורגול דק - כהן</t>
  </si>
  <si>
    <t>גרעיני דלעת כהה  - כהן</t>
  </si>
  <si>
    <t>גרעיני חמניה מקולף - כהן</t>
  </si>
  <si>
    <t>עדשים שחורות פנינה - כהן</t>
  </si>
  <si>
    <t>עדשים אדומות חצאים - כהן</t>
  </si>
  <si>
    <t>קינואה אדומה - כהן</t>
  </si>
  <si>
    <t>קינואה לבנה- כהן</t>
  </si>
  <si>
    <t>קינואה צבעונית מיקס - כהן</t>
  </si>
  <si>
    <t>שומשום לבן  - כהן</t>
  </si>
  <si>
    <t>שומשום שחור יפני  - כהן</t>
  </si>
  <si>
    <t>שומשום חום מלא - כהן</t>
  </si>
  <si>
    <t>פפריקה מתוקה מעושנת  - כהן</t>
  </si>
  <si>
    <t>זרעי צ'יה - כהן</t>
  </si>
  <si>
    <t>כוסמת חומה - כהן</t>
  </si>
  <si>
    <t>קרם חומץ בלסמי מצומצם -כהן</t>
  </si>
  <si>
    <t>טחינה - המלך כהן</t>
  </si>
  <si>
    <t>סילאן - טעמי הגליל כהן</t>
  </si>
  <si>
    <t xml:space="preserve"> מיץ לימון קפוא טבעי 2 ל' (6 גלון) כהן</t>
  </si>
  <si>
    <t>ליטר</t>
  </si>
  <si>
    <t>חלב סויה - ויטריז ללא סוכר ללא גלוטן כהן</t>
  </si>
  <si>
    <t>חלב שיבולת שועל פרימוונה - ויטריז</t>
  </si>
  <si>
    <t>חלב סויה - אלפרו 12 יחידות (ללא החזרות) כהן</t>
  </si>
  <si>
    <t>דבש  צנצנת זכוכית -רובין כהן</t>
  </si>
  <si>
    <t>חרדל דיג'ון גרגירים - ריין כהן</t>
  </si>
  <si>
    <t>חרדל דיג'ון חלק - ריין כהן</t>
  </si>
  <si>
    <t>מיונז הולנדי פיין FINE - כהן</t>
  </si>
  <si>
    <t>אגוז מלך  - כהן</t>
  </si>
  <si>
    <t>אגוז פקאן חצאים  - כהן</t>
  </si>
  <si>
    <t>בונדוק מולבן שלם - כהן</t>
  </si>
  <si>
    <t>קשיו WW 320 גדול  - כהן</t>
  </si>
  <si>
    <t>שקד מולבן פרוס אמריקאי  - כהן</t>
  </si>
  <si>
    <t>שקד מולבן גפרור אמריקאי - כהן</t>
  </si>
  <si>
    <t>שקד טבעי אמריקאי ענק - כהן</t>
  </si>
  <si>
    <t>בוטנים מולבנים חצאים- כהן</t>
  </si>
  <si>
    <t>צימוק לבן בינוני - כהן</t>
  </si>
  <si>
    <t>אפונה וואסבי - בית יוסף כהן</t>
  </si>
  <si>
    <t>בוטנים גרוסים קלויים כהן</t>
  </si>
  <si>
    <t>ברס קרוקנט לוז כהן</t>
  </si>
  <si>
    <t>גרם</t>
  </si>
  <si>
    <t>חמאה 82% ללא מלח אירלנדית - כהן</t>
  </si>
  <si>
    <t>אבקת סוכר  - ר.ס. כהן</t>
  </si>
  <si>
    <t>אבקת אפיה  - כהן</t>
  </si>
  <si>
    <t>קורנפלור  - ר.ס כהן</t>
  </si>
  <si>
    <t>משפר אפייה - שביט כהן</t>
  </si>
  <si>
    <t>קקאו כהה 22%-20% - כהן</t>
  </si>
  <si>
    <t>שבבי תפו"א  - כהן</t>
  </si>
  <si>
    <t>מי ורדים - כהן</t>
  </si>
  <si>
    <t>שמרים יבשים - מאוריפאן כהן</t>
  </si>
  <si>
    <t>פלפל שטה גרוס - כהן</t>
  </si>
  <si>
    <t>סובין - כהן</t>
  </si>
  <si>
    <t>סוכר אינוורטי - כהן</t>
  </si>
  <si>
    <t>סירופ מייפל  - עולם הפרי - כהן</t>
  </si>
  <si>
    <t>מלח לימון 2 - כהן</t>
  </si>
  <si>
    <t>אבקת סלק אדום  - כהן</t>
  </si>
  <si>
    <t>תרסיס שמן קנולה  - כהן</t>
  </si>
  <si>
    <t>חלב מרוכז ממותק חלב נוכרי - כהן</t>
  </si>
  <si>
    <t>קרם קוקוס 21% קרטונית - בית יוסף כהן</t>
  </si>
  <si>
    <t>מחית פיסטוק NOYER 100%  - כהן</t>
  </si>
  <si>
    <t>מחית נוגט NOYER 65%  - כהן</t>
  </si>
  <si>
    <t>אצות וואקמה - רבנות כהן</t>
  </si>
  <si>
    <t>מיסו לבן שירו (Hikari כהן</t>
  </si>
  <si>
    <t>חומץ אורז לבן כהן</t>
  </si>
  <si>
    <t>פפריק מתוקה מעושנת צנצנת  - כהן</t>
  </si>
  <si>
    <t xml:space="preserve">פניני טפיוקה </t>
  </si>
  <si>
    <t>סוכר דמררה בהיר- כהן</t>
  </si>
  <si>
    <t>סוכר לבן - עדה חרדית כהן</t>
  </si>
  <si>
    <t>מלח ים אטלנטי - כהן</t>
  </si>
  <si>
    <t>מלח דק (מלח שולחן)- סלית כהן</t>
  </si>
  <si>
    <t>סוכר חום כהה - כהן</t>
  </si>
  <si>
    <t>שמן שומשום טהור - כהן</t>
  </si>
  <si>
    <t>שמן סויה - סולבר כהן</t>
  </si>
  <si>
    <t>שמן חמניות - כהן</t>
  </si>
  <si>
    <t>שמן זית כתית מעולה  ספרדי-כהן-%0.4</t>
  </si>
  <si>
    <t>אגוז מוסקט שלם -  כהן</t>
  </si>
  <si>
    <t>זית חרוזית ירוק יווני מסונן - כהן</t>
  </si>
  <si>
    <t>זית טאסוס יווני - כהן</t>
  </si>
  <si>
    <t>זית מרוקאי - כהן</t>
  </si>
  <si>
    <t>צלפים  חת"ס ב"ב - כהן</t>
  </si>
  <si>
    <t>מלפפון קורנישון - כהן</t>
  </si>
  <si>
    <t>טונה פאוץ נתחים - חת"ס פ"תכהן</t>
  </si>
  <si>
    <t>אנשובי מרוקאי - כהן</t>
  </si>
  <si>
    <t>עגבניות מרוסקות דק (פולפה) איטלקי STELLA - כהן</t>
  </si>
  <si>
    <t xml:space="preserve">קפוא ברוקולי - כהן </t>
  </si>
  <si>
    <t>קפוא תרד מדליונים  - תפזורת</t>
  </si>
  <si>
    <t>שוקולד מריר - קליבו 53.1% - מר קייק</t>
  </si>
  <si>
    <t>שוקולד לבן - קליבו מטבעות - מר קייק</t>
  </si>
  <si>
    <t>שוקולד חלב - קליבו - מטבעות מר קייק</t>
  </si>
  <si>
    <t>שוקולד רובי - מר קייק</t>
  </si>
  <si>
    <t>שוקולד צ'יפס חלב - קליבו - קרטון של 4 יח' מר קייק</t>
  </si>
  <si>
    <t>שוקולד בלונדי גולד - קרטון 4 יח' מר קייק</t>
  </si>
  <si>
    <t>שוקולד צ'יפס לבן - קליבו מר קייק</t>
  </si>
  <si>
    <t>שוקולדצ'פיס חמאת בוטנים - מר קייק</t>
  </si>
  <si>
    <t>אבקת אפיה - 10 יחידות קרטון מר קייק</t>
  </si>
  <si>
    <t>אבקת סוכר - שק מר קייק גלעם</t>
  </si>
  <si>
    <t>אגר אגר - מר קייק</t>
  </si>
  <si>
    <t>גלוקוזה סירופ - מר קייק</t>
  </si>
  <si>
    <t>אבקת גלוקוזה - מר קייק</t>
  </si>
  <si>
    <t>משפר אפיה להקפאה - מר קייק</t>
  </si>
  <si>
    <t>שמרים יבשים - מר קייק 20 יח' בקרטון</t>
  </si>
  <si>
    <t>סוכר דמררה - מר קייק 15 יח' בקרטון</t>
  </si>
  <si>
    <t>סוכר חום כהה - מר קייק 15 יח' בקרטון</t>
  </si>
  <si>
    <t>קורנפלור - אשבל מר קייק 8 יח' בקרטון</t>
  </si>
  <si>
    <t>סוכר גבישי - מר קייק</t>
  </si>
  <si>
    <t>פקטין N.H - מר קייק</t>
  </si>
  <si>
    <t>אבקת קקאו - מר קייק - 4 יח' בקרטון</t>
  </si>
  <si>
    <t>אבקת שקדים  - מר קייק</t>
  </si>
  <si>
    <t>קריספי פטל - SOSA מר קייק</t>
  </si>
  <si>
    <t>אבקת חלב - מר קייק</t>
  </si>
  <si>
    <t>לתת כהה- מר קייק</t>
  </si>
  <si>
    <t>לתת בהיר - מר קייק</t>
  </si>
  <si>
    <t>צבע מאכל זהב מטאלי</t>
  </si>
  <si>
    <t xml:space="preserve">סוכריות צבעוניות - מר קייק </t>
  </si>
  <si>
    <t>אבקת אבץ - מר קייק</t>
  </si>
  <si>
    <t>טרימולין סוכר אינוורטי - מר קייק</t>
  </si>
  <si>
    <t>שוקולד גאיה - קליבו בלוק - מר קייק</t>
  </si>
  <si>
    <t>קקאו גרוס ברי - מר קייק דלי של 4 ק"ג</t>
  </si>
  <si>
    <t>רצועות שוקולד מריר - קליבו - מר קייק קרטון 15 יח'</t>
  </si>
  <si>
    <t>רצועות שוקולד חלב -ברי מר קייק קרטון 15 יח'</t>
  </si>
  <si>
    <t>חמאת קקאו - מר קייק</t>
  </si>
  <si>
    <t>חמאת קקאו - קליבו - מר קייק קרטון 10 יח'</t>
  </si>
  <si>
    <t>מחית נוגט - פרלינה קליבו - מר קייק</t>
  </si>
  <si>
    <t>מחית פיסטוק - קליבו - מר קייק</t>
  </si>
  <si>
    <t>משחת וניל בורבון גרגירים - מר קייק</t>
  </si>
  <si>
    <t>מחית שקדים 50% - מר קייק</t>
  </si>
  <si>
    <t>ממרח נוצ'לה - מר קייק</t>
  </si>
  <si>
    <t>ממרח שוקולד מריר - קליבו מר קייק</t>
  </si>
  <si>
    <t>שבבי פייטה - מר קייק</t>
  </si>
  <si>
    <t>ממרח קרמל - קליבו מר קייק</t>
  </si>
  <si>
    <t>דובדבן אמרנה - מר קייק 6 יח' בקרטון</t>
  </si>
  <si>
    <t>ברס אגוזי לוז - מר קייק 6 יח' בקרטון</t>
  </si>
  <si>
    <t>דובדבן אמרנה עם גבעול - מר קייק</t>
  </si>
  <si>
    <t>שקיות זילוף ירוק 53 ס"מ - מר קייק 10 יח' בקרטון</t>
  </si>
  <si>
    <t>מחית פטל קפוא - מר קייק</t>
  </si>
  <si>
    <t>מחית קסיס קפוא - מר קייק</t>
  </si>
  <si>
    <t>מחית מנגו קפוא -מר קייק</t>
  </si>
  <si>
    <t>מחית פסיפלורה קפוא - מר קייק</t>
  </si>
  <si>
    <t>מחית מנדרינה קפוא - מר קייק</t>
  </si>
  <si>
    <t>מחית תפוז דם קפוא - מר קייק</t>
  </si>
  <si>
    <t>מחית ליצ'י קפוא - מר קייק</t>
  </si>
  <si>
    <t>מחית אננס קפוא - מר קייק</t>
  </si>
  <si>
    <t>אגס בסירופ - מר קייק 6 יח' בקרטון</t>
  </si>
  <si>
    <t>סודה לשתיה - מר קייק</t>
  </si>
  <si>
    <t>שוקולד צ'יפס מריר - קליבו -מר קייק</t>
  </si>
  <si>
    <t>שמנת חמוצה - גד</t>
  </si>
  <si>
    <t>גבינת שמנת טבעי 30% - גד</t>
  </si>
  <si>
    <t>מוצרלה לפיצה - גד</t>
  </si>
  <si>
    <t>מוצרלה כדורים לפיצה - גד</t>
  </si>
  <si>
    <t>מוצרלה בייבי - גד</t>
  </si>
  <si>
    <t xml:space="preserve">מוצרלה בוראטה - גד </t>
  </si>
  <si>
    <t>לאבנה דרוזית 9% בשקית - גד</t>
  </si>
  <si>
    <t xml:space="preserve">לאבנה -גד </t>
  </si>
  <si>
    <t>ריקוטה פרסקה 9% בסלסלה - גד</t>
  </si>
  <si>
    <t>פקורינו רומנו - גד גלגל</t>
  </si>
  <si>
    <t>סטרקינו - גד גלגל</t>
  </si>
  <si>
    <t>מנצ'גו ספרדית - גד גלגל</t>
  </si>
  <si>
    <t>גרנה פדנה - גד גלגל</t>
  </si>
  <si>
    <t>בולגרית מעודנת 5% - גד</t>
  </si>
  <si>
    <t>בולגרית מסורתית 24% - גד</t>
  </si>
  <si>
    <t>בולגרית מסוריתית 16% בפח - גד</t>
  </si>
  <si>
    <t>בולגרית מסוריתית 5% בפח - גד</t>
  </si>
  <si>
    <t>בלגרית מעודנת 16% - גד</t>
  </si>
  <si>
    <t>גורגונזולה - גד</t>
  </si>
  <si>
    <t>חמאה לבנה - גד</t>
  </si>
  <si>
    <t>חמאה צהובה גד</t>
  </si>
  <si>
    <t>גבינת ברי - גד גלגל</t>
  </si>
  <si>
    <t>בושה עיזים - גד גליל עבה</t>
  </si>
  <si>
    <t>בושה עיזים - גד גליל דק</t>
  </si>
  <si>
    <t>גבינת גאודה עיזים - גד</t>
  </si>
  <si>
    <t>קממבר בקר עגול - גד גלגל</t>
  </si>
  <si>
    <t>פרמירה - גד גלגל</t>
  </si>
  <si>
    <t>פטה כבשים 20% דלי - גד</t>
  </si>
  <si>
    <t xml:space="preserve">טופו טבעי בתפזורת </t>
  </si>
  <si>
    <t xml:space="preserve">שמנת מתוקה 42% - גד </t>
  </si>
  <si>
    <t>יוגורט - גד</t>
  </si>
  <si>
    <t xml:space="preserve">גבינה טבעונית מגורדת לפיצה </t>
  </si>
  <si>
    <t>חלב סויה - גד</t>
  </si>
  <si>
    <t>חלב שיבול שועל -בריסטה גד</t>
  </si>
  <si>
    <t>חלב סויה אלפורו - גד</t>
  </si>
  <si>
    <t>חלב שקדים אלפרו - גד</t>
  </si>
  <si>
    <t>חלב בקרטון 3% - גד</t>
  </si>
  <si>
    <t>חלב בקרטון 1% - גד</t>
  </si>
  <si>
    <t>מוצרלה מגורדת - יעקבס</t>
  </si>
  <si>
    <t>מוצרלה גוש לפיצה - יעקבס</t>
  </si>
  <si>
    <t>מוצרלה בייבי - יעקבס</t>
  </si>
  <si>
    <t>גרוייר - יעקבס</t>
  </si>
  <si>
    <t>תום - יעקבס</t>
  </si>
  <si>
    <t>קצ'וטה - יעקבס</t>
  </si>
  <si>
    <t>מנצ'גו - יעקבס</t>
  </si>
  <si>
    <t>קשקבל - יעקבס</t>
  </si>
  <si>
    <t>פקורינו רומנו - יעקבס</t>
  </si>
  <si>
    <t>קממבר בקר - יעקבס</t>
  </si>
  <si>
    <t>פרמייר שחר - יעקבס</t>
  </si>
  <si>
    <t>סנט מור - יעקבס</t>
  </si>
  <si>
    <t>פטה כבשים - יעקבס</t>
  </si>
  <si>
    <t>פטה עזים - יעקבס</t>
  </si>
  <si>
    <t>בולגרית שש בש - יעקבס</t>
  </si>
  <si>
    <t xml:space="preserve">בולגרית חלב בקר - יעקבס </t>
  </si>
  <si>
    <t>גבינת שמנת - יעקבס</t>
  </si>
  <si>
    <t>לאבנה - יעקבס</t>
  </si>
  <si>
    <t>גלילית = יעקבס</t>
  </si>
  <si>
    <t>ריקוטה - יעקבס</t>
  </si>
  <si>
    <t>יוגורט טבעי בקר - יעקבס</t>
  </si>
  <si>
    <t>יוגורט כבשים - יעקבס</t>
  </si>
  <si>
    <t xml:space="preserve">יוגורט יווני 8% - יעקבס </t>
  </si>
  <si>
    <t>שם המוצר</t>
  </si>
  <si>
    <t xml:space="preserve">עלות </t>
  </si>
  <si>
    <t>רווח</t>
  </si>
  <si>
    <t xml:space="preserve">כמות </t>
  </si>
  <si>
    <t>עלות עבודה</t>
  </si>
  <si>
    <t>סוג ליחידת מידה 1</t>
  </si>
  <si>
    <t>מחיר ליחידת מידה 1</t>
  </si>
  <si>
    <t>קג</t>
  </si>
  <si>
    <t>מל</t>
  </si>
  <si>
    <t>רווח באחוזים</t>
  </si>
  <si>
    <t>תקורות</t>
  </si>
  <si>
    <t>שונות</t>
  </si>
  <si>
    <t>אריזות</t>
  </si>
  <si>
    <t>סה"כ שונות</t>
  </si>
  <si>
    <t>עלות רכיבים</t>
  </si>
  <si>
    <t>עלות</t>
  </si>
  <si>
    <t>ליטר לגרם</t>
  </si>
  <si>
    <t>מחיר מחושב לפני מע"מ</t>
  </si>
  <si>
    <t>מחיר לבדיקה לפני מע"מ</t>
  </si>
  <si>
    <t>יח' מוצר למתכון:</t>
  </si>
  <si>
    <t>מחיר ליח' לפני מע"מ(לפי מחיר בדיקה):</t>
  </si>
  <si>
    <t>מחיר ליח' כולל מע"מ(לפי מחיר בדיקה):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</si>
</sst>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 [$₪-40D]\ * #,##0.00_ ;_ [$₪-40D]\ * \-#,##0.00_ ;_ [$₪-40D]\ * &quot;-&quot;??_ ;_ @_ "/>
    <numFmt numFmtId="165" formatCode="[$₪-40D]\ #,##0.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47189"/>
        <bgColor indexed="64"/>
      </patternFill>
    </fill>
    <fill>
      <patternFill patternType="solid">
        <fgColor rgb="FFFFCF89"/>
        <bgColor indexed="64"/>
      </patternFill>
    </fill>
    <fill>
      <patternFill patternType="solid">
        <fgColor rgb="FFABA9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Alignment="1">
      <alignment wrapText="1"/>
    </xf>
    <xf numFmtId="0" fontId="1" fillId="4" borderId="0" xfId="0" applyFont="1" applyFill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2" borderId="0" xfId="0" applyFill="1"/>
    <xf numFmtId="164" fontId="0" fillId="0" borderId="3" xfId="0" applyNumberFormat="1" applyBorder="1"/>
    <xf numFmtId="164" fontId="0" fillId="3" borderId="1" xfId="1" applyNumberFormat="1" applyFont="1" applyFill="1" applyBorder="1"/>
    <xf numFmtId="0" fontId="1" fillId="2" borderId="5" xfId="0" applyFont="1" applyFill="1" applyBorder="1"/>
    <xf numFmtId="0" fontId="1" fillId="2" borderId="5" xfId="0" applyFont="1" applyFill="1" applyBorder="1" applyAlignment="1">
      <alignment wrapText="1"/>
    </xf>
    <xf numFmtId="0" fontId="0" fillId="0" borderId="7" xfId="0" applyBorder="1"/>
    <xf numFmtId="0" fontId="0" fillId="0" borderId="8" xfId="0" applyBorder="1"/>
    <xf numFmtId="0" fontId="1" fillId="2" borderId="6" xfId="0" applyFont="1" applyFill="1" applyBorder="1" applyAlignment="1">
      <alignment wrapText="1"/>
    </xf>
    <xf numFmtId="165" fontId="0" fillId="0" borderId="8" xfId="0" applyNumberFormat="1" applyBorder="1"/>
    <xf numFmtId="165" fontId="0" fillId="0" borderId="9" xfId="0" applyNumberFormat="1" applyBorder="1"/>
    <xf numFmtId="165" fontId="0" fillId="0" borderId="0" xfId="0" applyNumberFormat="1"/>
    <xf numFmtId="165" fontId="0" fillId="0" borderId="1" xfId="0" applyNumberFormat="1" applyBorder="1"/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0" fillId="0" borderId="10" xfId="0" applyBorder="1"/>
    <xf numFmtId="165" fontId="0" fillId="0" borderId="11" xfId="0" applyNumberFormat="1" applyBorder="1"/>
    <xf numFmtId="10" fontId="0" fillId="0" borderId="1" xfId="0" applyNumberFormat="1" applyBorder="1" applyAlignment="1">
      <alignment horizontal="center"/>
    </xf>
    <xf numFmtId="0" fontId="1" fillId="6" borderId="4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CF89"/>
      <color rgb="FFC47189"/>
      <color rgb="FFABA993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719666</xdr:colOff>
      <xdr:row>3</xdr:row>
      <xdr:rowOff>118534</xdr:rowOff>
    </xdr:from>
    <xdr:to>
      <xdr:col>4</xdr:col>
      <xdr:colOff>237066</xdr:colOff>
      <xdr:row>6</xdr:row>
      <xdr:rowOff>42334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9423F477-3DE0-C4E5-D202-2DCF3D48C576}"/>
            </a:ext>
          </a:extLst>
        </xdr:cNvPr>
        <xdr:cNvSpPr/>
      </xdr:nvSpPr>
      <xdr:spPr>
        <a:xfrm>
          <a:off x="13590794934" y="728134"/>
          <a:ext cx="2006600" cy="533400"/>
        </a:xfrm>
        <a:prstGeom prst="roundRect">
          <a:avLst/>
        </a:prstGeom>
        <a:solidFill>
          <a:srgbClr val="C4718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he-IL" sz="2000"/>
            <a:t>תמחור מוצר חדש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E8AAF-737E-F745-8543-82A57DF5E73B}">
  <sheetPr codeName="Sheet4"/>
  <dimension ref="A1"/>
  <sheetViews>
    <sheetView rightToLeft="1" zoomScale="150" zoomScaleNormal="150" workbookViewId="0">
      <selection activeCell="H10" sqref="H10"/>
    </sheetView>
  </sheetViews>
  <sheetFormatPr defaultColWidth="11" defaultRowHeight="15.7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2BF-5CEA-084B-8F5E-824A55C4611C}">
  <sheetPr codeName="Sheet1" filterMode="1"/>
  <dimension ref="A1:G245"/>
  <sheetViews>
    <sheetView rightToLeft="1" tabSelected="1" zoomScale="130" zoomScaleNormal="130" workbookViewId="0">
      <selection activeCell="A4" sqref="A4"/>
    </sheetView>
  </sheetViews>
  <sheetFormatPr defaultColWidth="11" defaultRowHeight="15.75" x14ac:dyDescent="0.25"/>
  <cols>
    <col min="1" max="1" width="38.375" customWidth="1"/>
    <col min="2" max="2" width="8.375" customWidth="1"/>
    <col min="5" max="5" width="14.5" customWidth="1"/>
    <col min="6" max="6" width="15.75" bestFit="1" customWidth="1"/>
  </cols>
  <sheetData>
    <row r="1" spans="1:6" x14ac:dyDescent="0.25">
      <c r="A1" s="7" t="s">
        <v>0</v>
      </c>
      <c r="B1" s="7" t="s">
        <v>17</v>
      </c>
      <c r="C1" s="7" t="s">
        <v>19</v>
      </c>
      <c r="D1" s="7" t="s">
        <v>18</v>
      </c>
      <c r="E1" s="5" t="s">
        <v>255</v>
      </c>
      <c r="F1" s="6" t="s">
        <v>256</v>
      </c>
    </row>
    <row r="2" spans="1:6" x14ac:dyDescent="0.25">
      <c r="A2" s="1" t="s">
        <v>138</v>
      </c>
      <c r="B2" s="1">
        <v>1</v>
      </c>
      <c r="C2" s="1" t="s">
        <v>257</v>
      </c>
      <c r="D2" s="8">
        <v>14.7</v>
      </c>
      <c r="E2" s="5" t="s">
        <v>84</v>
      </c>
      <c r="F2" s="9">
        <f>IF(OR(AND(E2="גרם",C2="קג"),AND(E2="מל",C2="ליטר")),(D2/B2)/1000,IF(OR(E2="יחידה",AND(E2="גרם",C2="גרם"),AND(E2="מל",C2="מל"),AND(E2="קג",C2="קג"),AND(E2="ליטר",C2="ליטר")),D2/B2,"NA"))</f>
        <v>1.47E-2</v>
      </c>
    </row>
    <row r="3" spans="1:6" x14ac:dyDescent="0.25">
      <c r="A3" s="1" t="s">
        <v>87</v>
      </c>
      <c r="B3" s="1">
        <v>1</v>
      </c>
      <c r="C3" s="1" t="s">
        <v>257</v>
      </c>
      <c r="D3" s="8">
        <v>8.8000000000000007</v>
      </c>
      <c r="E3" s="5" t="s">
        <v>84</v>
      </c>
      <c r="F3" s="9">
        <f t="shared" ref="F3:F66" si="0">IF(OR(AND(E3="גרם",C3="קג"),AND(E3="מל",C3="ליטר")),(D3/B3)/1000,IF(OR(E3="יחידה",AND(E3="גרם",C3="גרם"),AND(E3="מל",C3="מל"),AND(E3="קג",C3="קג"),AND(E3="ליטר",C3="ליטר")),D3/B3,"NA"))</f>
        <v>8.8000000000000005E-3</v>
      </c>
    </row>
    <row r="4" spans="1:6" x14ac:dyDescent="0.25">
      <c r="A4" s="1" t="s">
        <v>142</v>
      </c>
      <c r="B4" s="1">
        <v>2</v>
      </c>
      <c r="C4" s="1" t="s">
        <v>257</v>
      </c>
      <c r="D4" s="8">
        <v>48</v>
      </c>
      <c r="E4" s="5" t="s">
        <v>84</v>
      </c>
      <c r="F4" s="9">
        <f t="shared" si="0"/>
        <v>2.4E-2</v>
      </c>
    </row>
    <row r="5" spans="1:6" x14ac:dyDescent="0.25">
      <c r="A5" s="1" t="s">
        <v>153</v>
      </c>
      <c r="B5" s="1">
        <v>2</v>
      </c>
      <c r="C5" s="1" t="s">
        <v>257</v>
      </c>
      <c r="D5" s="8">
        <v>72</v>
      </c>
      <c r="E5" s="5" t="s">
        <v>84</v>
      </c>
      <c r="F5" s="9">
        <f t="shared" si="0"/>
        <v>3.5999999999999997E-2</v>
      </c>
    </row>
    <row r="6" spans="1:6" x14ac:dyDescent="0.25">
      <c r="A6" s="1" t="s">
        <v>139</v>
      </c>
      <c r="B6" s="1">
        <v>10</v>
      </c>
      <c r="C6" s="1" t="s">
        <v>257</v>
      </c>
      <c r="D6" s="8">
        <v>55</v>
      </c>
      <c r="E6" s="5" t="s">
        <v>84</v>
      </c>
      <c r="F6" s="9">
        <f t="shared" si="0"/>
        <v>5.4999999999999997E-3</v>
      </c>
    </row>
    <row r="7" spans="1:6" x14ac:dyDescent="0.25">
      <c r="A7" s="1" t="s">
        <v>86</v>
      </c>
      <c r="B7" s="1">
        <v>1</v>
      </c>
      <c r="C7" s="1" t="s">
        <v>257</v>
      </c>
      <c r="D7" s="8">
        <v>5.6</v>
      </c>
      <c r="E7" s="5" t="s">
        <v>84</v>
      </c>
      <c r="F7" s="9">
        <f t="shared" si="0"/>
        <v>5.5999999999999999E-3</v>
      </c>
    </row>
    <row r="8" spans="1:6" x14ac:dyDescent="0.25">
      <c r="A8" s="1" t="s">
        <v>99</v>
      </c>
      <c r="B8" s="1">
        <v>1</v>
      </c>
      <c r="C8" s="1" t="s">
        <v>257</v>
      </c>
      <c r="D8" s="8">
        <v>38</v>
      </c>
      <c r="E8" s="5" t="s">
        <v>84</v>
      </c>
      <c r="F8" s="9">
        <f t="shared" si="0"/>
        <v>3.7999999999999999E-2</v>
      </c>
    </row>
    <row r="9" spans="1:6" x14ac:dyDescent="0.25">
      <c r="A9" s="1" t="s">
        <v>150</v>
      </c>
      <c r="B9" s="1">
        <v>2.5</v>
      </c>
      <c r="C9" s="1" t="s">
        <v>257</v>
      </c>
      <c r="D9" s="8">
        <v>97.5</v>
      </c>
      <c r="E9" s="5" t="s">
        <v>84</v>
      </c>
      <c r="F9" s="9">
        <f t="shared" si="0"/>
        <v>3.9E-2</v>
      </c>
    </row>
    <row r="10" spans="1:6" x14ac:dyDescent="0.25">
      <c r="A10" s="1" t="s">
        <v>151</v>
      </c>
      <c r="B10" s="1">
        <v>10</v>
      </c>
      <c r="C10" s="1" t="s">
        <v>257</v>
      </c>
      <c r="D10" s="8">
        <v>290</v>
      </c>
      <c r="E10" s="5" t="s">
        <v>84</v>
      </c>
      <c r="F10" s="9">
        <f t="shared" si="0"/>
        <v>2.9000000000000001E-2</v>
      </c>
    </row>
    <row r="11" spans="1:6" x14ac:dyDescent="0.25">
      <c r="A11" s="1" t="s">
        <v>20</v>
      </c>
      <c r="B11" s="1">
        <v>1</v>
      </c>
      <c r="C11" s="1" t="s">
        <v>257</v>
      </c>
      <c r="D11" s="8">
        <v>66</v>
      </c>
      <c r="E11" s="5" t="s">
        <v>84</v>
      </c>
      <c r="F11" s="9">
        <f t="shared" si="0"/>
        <v>6.6000000000000003E-2</v>
      </c>
    </row>
    <row r="12" spans="1:6" x14ac:dyDescent="0.25">
      <c r="A12" s="1" t="s">
        <v>119</v>
      </c>
      <c r="B12" s="1">
        <v>1</v>
      </c>
      <c r="C12" s="1" t="s">
        <v>257</v>
      </c>
      <c r="D12" s="8">
        <v>77</v>
      </c>
      <c r="E12" s="5" t="s">
        <v>84</v>
      </c>
      <c r="F12" s="9">
        <f t="shared" si="0"/>
        <v>7.6999999999999999E-2</v>
      </c>
    </row>
    <row r="13" spans="1:6" x14ac:dyDescent="0.25">
      <c r="A13" s="1" t="s">
        <v>72</v>
      </c>
      <c r="B13" s="1">
        <v>1</v>
      </c>
      <c r="C13" s="1" t="s">
        <v>257</v>
      </c>
      <c r="D13" s="8">
        <v>26</v>
      </c>
      <c r="E13" s="5" t="s">
        <v>84</v>
      </c>
      <c r="F13" s="9">
        <f t="shared" si="0"/>
        <v>2.5999999999999999E-2</v>
      </c>
    </row>
    <row r="14" spans="1:6" x14ac:dyDescent="0.25">
      <c r="A14" s="1" t="s">
        <v>73</v>
      </c>
      <c r="B14" s="1">
        <v>1</v>
      </c>
      <c r="C14" s="1" t="s">
        <v>257</v>
      </c>
      <c r="D14" s="8">
        <v>58</v>
      </c>
      <c r="E14" s="5" t="s">
        <v>84</v>
      </c>
      <c r="F14" s="9">
        <f t="shared" si="0"/>
        <v>5.8000000000000003E-2</v>
      </c>
    </row>
    <row r="15" spans="1:6" x14ac:dyDescent="0.25">
      <c r="A15" s="1" t="s">
        <v>186</v>
      </c>
      <c r="B15" s="1">
        <v>2.65</v>
      </c>
      <c r="C15" s="1" t="s">
        <v>257</v>
      </c>
      <c r="D15" s="8">
        <v>30</v>
      </c>
      <c r="E15" s="5" t="s">
        <v>84</v>
      </c>
      <c r="F15" s="9">
        <f t="shared" si="0"/>
        <v>1.1320754716981133E-2</v>
      </c>
    </row>
    <row r="16" spans="1:6" x14ac:dyDescent="0.25">
      <c r="A16" s="1" t="s">
        <v>140</v>
      </c>
      <c r="B16" s="1">
        <v>1</v>
      </c>
      <c r="C16" s="1" t="s">
        <v>257</v>
      </c>
      <c r="D16" s="8">
        <v>195</v>
      </c>
      <c r="E16" s="5" t="s">
        <v>84</v>
      </c>
      <c r="F16" s="9">
        <f t="shared" si="0"/>
        <v>0.19500000000000001</v>
      </c>
    </row>
    <row r="17" spans="1:6" x14ac:dyDescent="0.25">
      <c r="A17" s="1" t="s">
        <v>2</v>
      </c>
      <c r="B17" s="1">
        <v>1</v>
      </c>
      <c r="C17" s="1" t="s">
        <v>257</v>
      </c>
      <c r="D17" s="8">
        <v>11</v>
      </c>
      <c r="E17" s="5" t="s">
        <v>84</v>
      </c>
      <c r="F17" s="9">
        <f t="shared" si="0"/>
        <v>1.0999999999999999E-2</v>
      </c>
    </row>
    <row r="18" spans="1:6" x14ac:dyDescent="0.25">
      <c r="A18" s="1" t="s">
        <v>81</v>
      </c>
      <c r="B18" s="1">
        <v>1</v>
      </c>
      <c r="C18" s="1" t="s">
        <v>257</v>
      </c>
      <c r="D18" s="8">
        <v>32</v>
      </c>
      <c r="E18" s="5" t="s">
        <v>84</v>
      </c>
      <c r="F18" s="9">
        <f t="shared" si="0"/>
        <v>3.2000000000000001E-2</v>
      </c>
    </row>
    <row r="19" spans="1:6" x14ac:dyDescent="0.25">
      <c r="A19" s="1" t="s">
        <v>82</v>
      </c>
      <c r="B19" s="1">
        <v>1</v>
      </c>
      <c r="C19" s="1" t="s">
        <v>257</v>
      </c>
      <c r="D19" s="8">
        <v>17</v>
      </c>
      <c r="E19" s="5" t="s">
        <v>84</v>
      </c>
      <c r="F19" s="9">
        <f t="shared" si="0"/>
        <v>1.7000000000000001E-2</v>
      </c>
    </row>
    <row r="20" spans="1:6" x14ac:dyDescent="0.25">
      <c r="A20" s="1" t="s">
        <v>79</v>
      </c>
      <c r="B20" s="1">
        <v>2</v>
      </c>
      <c r="C20" s="1" t="s">
        <v>257</v>
      </c>
      <c r="D20" s="8">
        <v>14.5</v>
      </c>
      <c r="E20" s="5" t="s">
        <v>84</v>
      </c>
      <c r="F20" s="9">
        <f t="shared" si="0"/>
        <v>7.2500000000000004E-3</v>
      </c>
    </row>
    <row r="21" spans="1:6" x14ac:dyDescent="0.25">
      <c r="A21" s="1" t="s">
        <v>242</v>
      </c>
      <c r="B21" s="1">
        <v>1</v>
      </c>
      <c r="C21" s="1" t="s">
        <v>257</v>
      </c>
      <c r="D21" s="8">
        <v>35</v>
      </c>
      <c r="E21" s="5" t="s">
        <v>84</v>
      </c>
      <c r="F21" s="9">
        <f t="shared" si="0"/>
        <v>3.5000000000000003E-2</v>
      </c>
    </row>
    <row r="22" spans="1:6" x14ac:dyDescent="0.25">
      <c r="A22" s="1" t="s">
        <v>204</v>
      </c>
      <c r="B22" s="1">
        <v>11</v>
      </c>
      <c r="C22" s="1" t="s">
        <v>257</v>
      </c>
      <c r="D22" s="8">
        <v>35.5</v>
      </c>
      <c r="E22" s="5" t="s">
        <v>84</v>
      </c>
      <c r="F22" s="9">
        <f t="shared" si="0"/>
        <v>3.2272727272727271E-3</v>
      </c>
    </row>
    <row r="23" spans="1:6" x14ac:dyDescent="0.25">
      <c r="A23" s="1" t="s">
        <v>205</v>
      </c>
      <c r="B23" s="1">
        <v>11</v>
      </c>
      <c r="C23" s="1" t="s">
        <v>257</v>
      </c>
      <c r="D23" s="8">
        <v>35.5</v>
      </c>
      <c r="E23" s="5" t="s">
        <v>84</v>
      </c>
      <c r="F23" s="9">
        <f t="shared" si="0"/>
        <v>3.2272727272727271E-3</v>
      </c>
    </row>
    <row r="24" spans="1:6" hidden="1" x14ac:dyDescent="0.25">
      <c r="A24" s="1" t="s">
        <v>43</v>
      </c>
      <c r="B24" s="1">
        <v>10</v>
      </c>
      <c r="C24" s="1" t="s">
        <v>42</v>
      </c>
      <c r="D24" s="8">
        <v>10</v>
      </c>
      <c r="E24" s="5" t="str">
        <f t="shared" ref="E24:E54" si="1">C24</f>
        <v>יחידה</v>
      </c>
      <c r="F24" s="5">
        <f t="shared" si="0"/>
        <v>1</v>
      </c>
    </row>
    <row r="25" spans="1:6" x14ac:dyDescent="0.25">
      <c r="A25" s="1" t="s">
        <v>202</v>
      </c>
      <c r="B25" s="1">
        <v>4</v>
      </c>
      <c r="C25" s="1" t="s">
        <v>257</v>
      </c>
      <c r="D25" s="8">
        <v>35.5</v>
      </c>
      <c r="E25" s="5" t="s">
        <v>84</v>
      </c>
      <c r="F25" s="9">
        <f t="shared" si="0"/>
        <v>8.8749999999999992E-3</v>
      </c>
    </row>
    <row r="26" spans="1:6" x14ac:dyDescent="0.25">
      <c r="A26" s="1" t="s">
        <v>241</v>
      </c>
      <c r="B26" s="1">
        <v>1</v>
      </c>
      <c r="C26" s="1" t="s">
        <v>257</v>
      </c>
      <c r="D26" s="8">
        <v>32</v>
      </c>
      <c r="E26" s="5" t="s">
        <v>84</v>
      </c>
      <c r="F26" s="9">
        <f t="shared" si="0"/>
        <v>3.2000000000000001E-2</v>
      </c>
    </row>
    <row r="27" spans="1:6" x14ac:dyDescent="0.25">
      <c r="A27" s="1" t="s">
        <v>74</v>
      </c>
      <c r="B27" s="1">
        <v>1</v>
      </c>
      <c r="C27" s="1" t="s">
        <v>257</v>
      </c>
      <c r="D27" s="8">
        <v>36.799999999999997</v>
      </c>
      <c r="E27" s="5" t="s">
        <v>84</v>
      </c>
      <c r="F27" s="9">
        <f t="shared" si="0"/>
        <v>3.6799999999999999E-2</v>
      </c>
    </row>
    <row r="28" spans="1:6" x14ac:dyDescent="0.25">
      <c r="A28" s="1" t="s">
        <v>46</v>
      </c>
      <c r="B28" s="1">
        <v>2</v>
      </c>
      <c r="C28" s="1" t="s">
        <v>257</v>
      </c>
      <c r="D28" s="8">
        <v>4.5999999999999996</v>
      </c>
      <c r="E28" s="5" t="s">
        <v>84</v>
      </c>
      <c r="F28" s="9">
        <f t="shared" si="0"/>
        <v>2.3E-3</v>
      </c>
    </row>
    <row r="29" spans="1:6" x14ac:dyDescent="0.25">
      <c r="A29" s="1" t="s">
        <v>206</v>
      </c>
      <c r="B29" s="1">
        <v>4</v>
      </c>
      <c r="C29" s="1" t="s">
        <v>257</v>
      </c>
      <c r="D29" s="8">
        <v>35.5</v>
      </c>
      <c r="E29" s="5" t="s">
        <v>84</v>
      </c>
      <c r="F29" s="9">
        <f t="shared" si="0"/>
        <v>8.8749999999999992E-3</v>
      </c>
    </row>
    <row r="30" spans="1:6" x14ac:dyDescent="0.25">
      <c r="A30" s="1" t="s">
        <v>175</v>
      </c>
      <c r="B30" s="1">
        <v>1</v>
      </c>
      <c r="C30" s="1" t="s">
        <v>257</v>
      </c>
      <c r="D30" s="8">
        <v>48</v>
      </c>
      <c r="E30" s="5" t="s">
        <v>84</v>
      </c>
      <c r="F30" s="9">
        <f t="shared" si="0"/>
        <v>4.8000000000000001E-2</v>
      </c>
    </row>
    <row r="31" spans="1:6" x14ac:dyDescent="0.25">
      <c r="A31" s="1" t="s">
        <v>83</v>
      </c>
      <c r="B31" s="1">
        <v>1</v>
      </c>
      <c r="C31" s="1" t="s">
        <v>257</v>
      </c>
      <c r="D31" s="8">
        <v>32</v>
      </c>
      <c r="E31" s="5" t="s">
        <v>84</v>
      </c>
      <c r="F31" s="9">
        <f t="shared" si="0"/>
        <v>3.2000000000000001E-2</v>
      </c>
    </row>
    <row r="32" spans="1:6" x14ac:dyDescent="0.25">
      <c r="A32" s="1" t="s">
        <v>243</v>
      </c>
      <c r="B32" s="1">
        <v>1</v>
      </c>
      <c r="C32" s="1" t="s">
        <v>257</v>
      </c>
      <c r="D32" s="8">
        <v>19.5</v>
      </c>
      <c r="E32" s="5" t="s">
        <v>84</v>
      </c>
      <c r="F32" s="9">
        <f t="shared" si="0"/>
        <v>1.95E-2</v>
      </c>
    </row>
    <row r="33" spans="1:6" x14ac:dyDescent="0.25">
      <c r="A33" s="1" t="s">
        <v>190</v>
      </c>
      <c r="B33" s="1">
        <v>2</v>
      </c>
      <c r="C33" s="1" t="s">
        <v>257</v>
      </c>
      <c r="D33" s="8">
        <v>27.5</v>
      </c>
      <c r="E33" s="5" t="s">
        <v>84</v>
      </c>
      <c r="F33" s="9">
        <f t="shared" si="0"/>
        <v>1.375E-2</v>
      </c>
    </row>
    <row r="34" spans="1:6" x14ac:dyDescent="0.25">
      <c r="A34" s="1" t="s">
        <v>141</v>
      </c>
      <c r="B34" s="1">
        <v>7</v>
      </c>
      <c r="C34" s="1" t="s">
        <v>257</v>
      </c>
      <c r="D34" s="8">
        <v>105</v>
      </c>
      <c r="E34" s="5" t="s">
        <v>84</v>
      </c>
      <c r="F34" s="9">
        <f t="shared" si="0"/>
        <v>1.4999999999999999E-2</v>
      </c>
    </row>
    <row r="35" spans="1:6" x14ac:dyDescent="0.25">
      <c r="A35" s="1" t="s">
        <v>245</v>
      </c>
      <c r="B35" s="1">
        <v>1</v>
      </c>
      <c r="C35" s="1" t="s">
        <v>257</v>
      </c>
      <c r="D35" s="8">
        <v>72</v>
      </c>
      <c r="E35" s="5" t="s">
        <v>84</v>
      </c>
      <c r="F35" s="9">
        <f t="shared" si="0"/>
        <v>7.1999999999999995E-2</v>
      </c>
    </row>
    <row r="36" spans="1:6" x14ac:dyDescent="0.25">
      <c r="A36" s="1" t="s">
        <v>230</v>
      </c>
      <c r="B36" s="1">
        <v>1</v>
      </c>
      <c r="C36" s="1" t="s">
        <v>257</v>
      </c>
      <c r="D36" s="8">
        <v>62</v>
      </c>
      <c r="E36" s="5" t="s">
        <v>84</v>
      </c>
      <c r="F36" s="9">
        <f t="shared" si="0"/>
        <v>6.2E-2</v>
      </c>
    </row>
    <row r="37" spans="1:6" x14ac:dyDescent="0.25">
      <c r="A37" s="1" t="s">
        <v>201</v>
      </c>
      <c r="B37" s="1"/>
      <c r="C37" s="1" t="s">
        <v>257</v>
      </c>
      <c r="D37" s="8">
        <v>64.5</v>
      </c>
      <c r="E37" s="5" t="s">
        <v>84</v>
      </c>
      <c r="F37" s="9" t="e">
        <f t="shared" si="0"/>
        <v>#DIV/0!</v>
      </c>
    </row>
    <row r="38" spans="1:6" x14ac:dyDescent="0.25">
      <c r="A38" s="1" t="s">
        <v>47</v>
      </c>
      <c r="B38" s="1">
        <v>1</v>
      </c>
      <c r="C38" s="1" t="s">
        <v>257</v>
      </c>
      <c r="D38" s="8">
        <v>24</v>
      </c>
      <c r="E38" s="5" t="s">
        <v>84</v>
      </c>
      <c r="F38" s="9">
        <f t="shared" si="0"/>
        <v>2.4E-2</v>
      </c>
    </row>
    <row r="39" spans="1:6" x14ac:dyDescent="0.25">
      <c r="A39" s="1" t="s">
        <v>48</v>
      </c>
      <c r="B39" s="1">
        <v>2</v>
      </c>
      <c r="C39" s="1" t="s">
        <v>257</v>
      </c>
      <c r="D39" s="8">
        <v>10.9</v>
      </c>
      <c r="E39" s="5" t="s">
        <v>84</v>
      </c>
      <c r="F39" s="9">
        <f t="shared" si="0"/>
        <v>5.45E-3</v>
      </c>
    </row>
    <row r="40" spans="1:6" x14ac:dyDescent="0.25">
      <c r="A40" s="1" t="s">
        <v>68</v>
      </c>
      <c r="B40" s="1">
        <v>1</v>
      </c>
      <c r="C40" s="1" t="s">
        <v>257</v>
      </c>
      <c r="D40" s="8">
        <v>29</v>
      </c>
      <c r="E40" s="5" t="s">
        <v>84</v>
      </c>
      <c r="F40" s="9">
        <f t="shared" si="0"/>
        <v>2.9000000000000001E-2</v>
      </c>
    </row>
    <row r="41" spans="1:6" x14ac:dyDescent="0.25">
      <c r="A41" s="1" t="s">
        <v>174</v>
      </c>
      <c r="B41" s="1">
        <v>2.75</v>
      </c>
      <c r="C41" s="1" t="s">
        <v>257</v>
      </c>
      <c r="D41" s="8">
        <v>77</v>
      </c>
      <c r="E41" s="5" t="s">
        <v>84</v>
      </c>
      <c r="F41" s="9">
        <f t="shared" si="0"/>
        <v>2.8000000000000001E-2</v>
      </c>
    </row>
    <row r="42" spans="1:6" x14ac:dyDescent="0.25">
      <c r="A42" s="1" t="s">
        <v>176</v>
      </c>
      <c r="B42" s="1">
        <v>3.25</v>
      </c>
      <c r="C42" s="1" t="s">
        <v>257</v>
      </c>
      <c r="D42" s="8">
        <v>110</v>
      </c>
      <c r="E42" s="5" t="s">
        <v>84</v>
      </c>
      <c r="F42" s="9">
        <f t="shared" si="0"/>
        <v>3.3846153846153845E-2</v>
      </c>
    </row>
    <row r="43" spans="1:6" hidden="1" x14ac:dyDescent="0.25">
      <c r="A43" s="1" t="s">
        <v>60</v>
      </c>
      <c r="B43" s="1">
        <v>250</v>
      </c>
      <c r="C43" s="1" t="s">
        <v>258</v>
      </c>
      <c r="D43" s="8">
        <v>11.5</v>
      </c>
      <c r="E43" s="5" t="str">
        <f t="shared" si="1"/>
        <v>מל</v>
      </c>
      <c r="F43" s="5">
        <f t="shared" si="0"/>
        <v>4.5999999999999999E-2</v>
      </c>
    </row>
    <row r="44" spans="1:6" x14ac:dyDescent="0.25">
      <c r="A44" s="1" t="s">
        <v>22</v>
      </c>
      <c r="B44" s="1">
        <v>1</v>
      </c>
      <c r="C44" s="1" t="s">
        <v>257</v>
      </c>
      <c r="D44" s="8">
        <v>88</v>
      </c>
      <c r="E44" s="5" t="s">
        <v>84</v>
      </c>
      <c r="F44" s="9">
        <f t="shared" si="0"/>
        <v>8.7999999999999995E-2</v>
      </c>
    </row>
    <row r="45" spans="1:6" hidden="1" x14ac:dyDescent="0.25">
      <c r="A45" s="1" t="s">
        <v>3</v>
      </c>
      <c r="B45" s="1">
        <v>500</v>
      </c>
      <c r="C45" s="1" t="s">
        <v>42</v>
      </c>
      <c r="D45" s="8">
        <v>64</v>
      </c>
      <c r="E45" s="5" t="str">
        <f t="shared" si="1"/>
        <v>יחידה</v>
      </c>
      <c r="F45" s="5">
        <f t="shared" si="0"/>
        <v>0.128</v>
      </c>
    </row>
    <row r="46" spans="1:6" x14ac:dyDescent="0.25">
      <c r="A46" s="1" t="s">
        <v>36</v>
      </c>
      <c r="B46" s="1">
        <v>1</v>
      </c>
      <c r="C46" s="1" t="s">
        <v>257</v>
      </c>
      <c r="D46" s="8">
        <v>130</v>
      </c>
      <c r="E46" s="5" t="s">
        <v>84</v>
      </c>
      <c r="F46" s="9">
        <f t="shared" si="0"/>
        <v>0.13</v>
      </c>
    </row>
    <row r="47" spans="1:6" hidden="1" x14ac:dyDescent="0.25">
      <c r="A47" s="1" t="s">
        <v>63</v>
      </c>
      <c r="B47" s="1">
        <v>2</v>
      </c>
      <c r="C47" s="1" t="s">
        <v>64</v>
      </c>
      <c r="D47" s="8">
        <v>20</v>
      </c>
      <c r="E47" s="5" t="s">
        <v>64</v>
      </c>
      <c r="F47" s="5">
        <f t="shared" si="0"/>
        <v>10</v>
      </c>
    </row>
    <row r="48" spans="1:6" hidden="1" x14ac:dyDescent="0.25">
      <c r="A48" s="1" t="s">
        <v>67</v>
      </c>
      <c r="B48" s="1">
        <v>1</v>
      </c>
      <c r="C48" s="1" t="s">
        <v>64</v>
      </c>
      <c r="D48" s="8">
        <v>10.5</v>
      </c>
      <c r="E48" s="5" t="s">
        <v>64</v>
      </c>
      <c r="F48" s="5">
        <f t="shared" si="0"/>
        <v>10.5</v>
      </c>
    </row>
    <row r="49" spans="1:7" hidden="1" x14ac:dyDescent="0.25">
      <c r="A49" s="1" t="s">
        <v>65</v>
      </c>
      <c r="B49" s="1">
        <v>1</v>
      </c>
      <c r="C49" s="1" t="s">
        <v>64</v>
      </c>
      <c r="D49" s="8">
        <v>7</v>
      </c>
      <c r="E49" s="5" t="s">
        <v>64</v>
      </c>
      <c r="F49" s="5">
        <f t="shared" si="0"/>
        <v>7</v>
      </c>
    </row>
    <row r="50" spans="1:7" hidden="1" x14ac:dyDescent="0.25">
      <c r="A50" s="1" t="s">
        <v>66</v>
      </c>
      <c r="B50" s="1">
        <v>1</v>
      </c>
      <c r="C50" s="1" t="s">
        <v>64</v>
      </c>
      <c r="D50" s="8">
        <v>9.9</v>
      </c>
      <c r="E50" s="5" t="s">
        <v>64</v>
      </c>
      <c r="F50" s="5">
        <f t="shared" si="0"/>
        <v>9.9</v>
      </c>
    </row>
    <row r="51" spans="1:7" hidden="1" x14ac:dyDescent="0.25">
      <c r="A51" s="1" t="s">
        <v>4</v>
      </c>
      <c r="B51" s="1">
        <v>1</v>
      </c>
      <c r="C51" s="1" t="s">
        <v>64</v>
      </c>
      <c r="D51" s="8">
        <v>10.9</v>
      </c>
      <c r="E51" s="5" t="s">
        <v>64</v>
      </c>
      <c r="F51" s="5">
        <f t="shared" si="0"/>
        <v>10.9</v>
      </c>
      <c r="G51" t="s">
        <v>266</v>
      </c>
    </row>
    <row r="52" spans="1:7" hidden="1" x14ac:dyDescent="0.25">
      <c r="A52" s="1" t="s">
        <v>5</v>
      </c>
      <c r="B52" s="1">
        <v>1</v>
      </c>
      <c r="C52" s="1" t="s">
        <v>64</v>
      </c>
      <c r="D52" s="8">
        <v>9.9</v>
      </c>
      <c r="E52" s="5" t="s">
        <v>64</v>
      </c>
      <c r="F52" s="5">
        <f t="shared" si="0"/>
        <v>9.9</v>
      </c>
    </row>
    <row r="53" spans="1:7" x14ac:dyDescent="0.25">
      <c r="A53" s="1" t="s">
        <v>120</v>
      </c>
      <c r="B53" s="1">
        <v>2</v>
      </c>
      <c r="C53" s="1" t="s">
        <v>257</v>
      </c>
      <c r="D53" s="8">
        <v>31</v>
      </c>
      <c r="E53" s="5" t="s">
        <v>84</v>
      </c>
      <c r="F53" s="9">
        <f t="shared" si="0"/>
        <v>1.55E-2</v>
      </c>
    </row>
    <row r="54" spans="1:7" hidden="1" x14ac:dyDescent="0.25">
      <c r="A54" s="1" t="s">
        <v>6</v>
      </c>
      <c r="B54" s="1">
        <v>60</v>
      </c>
      <c r="C54" s="1" t="s">
        <v>258</v>
      </c>
      <c r="D54" s="8">
        <v>8.5</v>
      </c>
      <c r="E54" s="5" t="str">
        <f t="shared" si="1"/>
        <v>מל</v>
      </c>
      <c r="F54" s="5">
        <f t="shared" si="0"/>
        <v>0.14166666666666666</v>
      </c>
    </row>
    <row r="55" spans="1:7" x14ac:dyDescent="0.25">
      <c r="A55" s="1" t="s">
        <v>121</v>
      </c>
      <c r="B55" s="1">
        <v>13</v>
      </c>
      <c r="C55" s="1" t="s">
        <v>257</v>
      </c>
      <c r="D55" s="8">
        <v>22</v>
      </c>
      <c r="E55" s="5" t="s">
        <v>84</v>
      </c>
      <c r="F55" s="9">
        <f t="shared" si="0"/>
        <v>1.6923076923076924E-3</v>
      </c>
    </row>
    <row r="56" spans="1:7" x14ac:dyDescent="0.25">
      <c r="A56" s="1" t="s">
        <v>122</v>
      </c>
      <c r="B56" s="1">
        <v>5</v>
      </c>
      <c r="C56" s="1" t="s">
        <v>257</v>
      </c>
      <c r="D56" s="8">
        <v>14</v>
      </c>
      <c r="E56" s="5" t="s">
        <v>84</v>
      </c>
      <c r="F56" s="9">
        <f t="shared" si="0"/>
        <v>2.8E-3</v>
      </c>
    </row>
    <row r="57" spans="1:7" x14ac:dyDescent="0.25">
      <c r="A57" s="1" t="s">
        <v>23</v>
      </c>
      <c r="B57" s="1">
        <v>1</v>
      </c>
      <c r="C57" s="1" t="s">
        <v>257</v>
      </c>
      <c r="D57" s="8">
        <v>31</v>
      </c>
      <c r="E57" s="5" t="s">
        <v>84</v>
      </c>
      <c r="F57" s="9">
        <f t="shared" si="0"/>
        <v>3.1E-2</v>
      </c>
    </row>
    <row r="58" spans="1:7" x14ac:dyDescent="0.25">
      <c r="A58" s="1" t="s">
        <v>24</v>
      </c>
      <c r="B58" s="1">
        <v>1</v>
      </c>
      <c r="C58" s="1" t="s">
        <v>257</v>
      </c>
      <c r="D58" s="8">
        <v>30</v>
      </c>
      <c r="E58" s="5" t="s">
        <v>84</v>
      </c>
      <c r="F58" s="9">
        <f t="shared" si="0"/>
        <v>0.03</v>
      </c>
    </row>
    <row r="59" spans="1:7" x14ac:dyDescent="0.25">
      <c r="A59" s="1" t="s">
        <v>58</v>
      </c>
      <c r="B59" s="1">
        <v>2</v>
      </c>
      <c r="C59" s="1" t="s">
        <v>257</v>
      </c>
      <c r="D59" s="8">
        <v>24</v>
      </c>
      <c r="E59" s="5" t="s">
        <v>84</v>
      </c>
      <c r="F59" s="9">
        <f t="shared" si="0"/>
        <v>1.2E-2</v>
      </c>
    </row>
    <row r="60" spans="1:7" x14ac:dyDescent="0.25">
      <c r="A60" s="1" t="s">
        <v>208</v>
      </c>
      <c r="B60" s="1">
        <v>25</v>
      </c>
      <c r="C60" s="1" t="s">
        <v>257</v>
      </c>
      <c r="D60" s="8">
        <v>26.88</v>
      </c>
      <c r="E60" s="5" t="s">
        <v>84</v>
      </c>
      <c r="F60" s="9">
        <f t="shared" si="0"/>
        <v>1.0751999999999999E-3</v>
      </c>
    </row>
    <row r="61" spans="1:7" x14ac:dyDescent="0.25">
      <c r="A61" s="1" t="s">
        <v>209</v>
      </c>
      <c r="B61" s="1">
        <v>25</v>
      </c>
      <c r="C61" s="1" t="s">
        <v>257</v>
      </c>
      <c r="D61" s="8">
        <v>45.24</v>
      </c>
      <c r="E61" s="5" t="s">
        <v>84</v>
      </c>
      <c r="F61" s="9">
        <f t="shared" si="0"/>
        <v>1.8096000000000002E-3</v>
      </c>
    </row>
    <row r="62" spans="1:7" x14ac:dyDescent="0.25">
      <c r="A62" s="1" t="s">
        <v>164</v>
      </c>
      <c r="B62" s="1">
        <v>10</v>
      </c>
      <c r="C62" s="1" t="s">
        <v>257</v>
      </c>
      <c r="D62" s="8">
        <v>440</v>
      </c>
      <c r="E62" s="5" t="s">
        <v>84</v>
      </c>
      <c r="F62" s="9">
        <f t="shared" si="0"/>
        <v>4.3999999999999997E-2</v>
      </c>
    </row>
    <row r="63" spans="1:7" x14ac:dyDescent="0.25">
      <c r="A63" s="1" t="s">
        <v>7</v>
      </c>
      <c r="B63" s="1"/>
      <c r="C63" s="1" t="s">
        <v>257</v>
      </c>
      <c r="D63" s="8">
        <v>18.8</v>
      </c>
      <c r="E63" s="5" t="s">
        <v>84</v>
      </c>
      <c r="F63" s="9" t="e">
        <f t="shared" si="0"/>
        <v>#DIV/0!</v>
      </c>
    </row>
    <row r="64" spans="1:7" x14ac:dyDescent="0.25">
      <c r="A64" s="1" t="s">
        <v>44</v>
      </c>
      <c r="B64" s="1">
        <v>1</v>
      </c>
      <c r="C64" s="1" t="s">
        <v>257</v>
      </c>
      <c r="D64" s="8">
        <v>15</v>
      </c>
      <c r="E64" s="5" t="s">
        <v>84</v>
      </c>
      <c r="F64" s="9">
        <f t="shared" si="0"/>
        <v>1.4999999999999999E-2</v>
      </c>
    </row>
    <row r="65" spans="1:6" x14ac:dyDescent="0.25">
      <c r="A65" s="1" t="s">
        <v>69</v>
      </c>
      <c r="B65" s="1">
        <v>5</v>
      </c>
      <c r="C65" s="1" t="s">
        <v>257</v>
      </c>
      <c r="D65" s="8">
        <v>44</v>
      </c>
      <c r="E65" s="5" t="s">
        <v>84</v>
      </c>
      <c r="F65" s="9">
        <f t="shared" si="0"/>
        <v>8.8000000000000005E-3</v>
      </c>
    </row>
    <row r="66" spans="1:6" x14ac:dyDescent="0.25">
      <c r="A66" s="1" t="s">
        <v>70</v>
      </c>
      <c r="B66" s="1">
        <v>5</v>
      </c>
      <c r="C66" s="1" t="s">
        <v>257</v>
      </c>
      <c r="D66" s="8">
        <v>44</v>
      </c>
      <c r="E66" s="5" t="s">
        <v>84</v>
      </c>
      <c r="F66" s="9">
        <f t="shared" si="0"/>
        <v>8.8000000000000005E-3</v>
      </c>
    </row>
    <row r="67" spans="1:6" x14ac:dyDescent="0.25">
      <c r="A67" s="1" t="s">
        <v>125</v>
      </c>
      <c r="B67" s="1">
        <v>1</v>
      </c>
      <c r="C67" s="1" t="s">
        <v>257</v>
      </c>
      <c r="D67" s="8">
        <v>23</v>
      </c>
      <c r="E67" s="5" t="s">
        <v>84</v>
      </c>
      <c r="F67" s="9">
        <f t="shared" ref="F67:F130" si="2">IF(OR(AND(E67="גרם",C67="קג"),AND(E67="מל",C67="ליטר")),(D67/B67)/1000,IF(OR(E67="יחידה",AND(E67="גרם",C67="גרם"),AND(E67="מל",C67="מל"),AND(E67="קג",C67="קג"),AND(E67="ליטר",C67="ליטר")),D67/B67,"NA"))</f>
        <v>2.3E-2</v>
      </c>
    </row>
    <row r="68" spans="1:6" x14ac:dyDescent="0.25">
      <c r="A68" s="1" t="s">
        <v>61</v>
      </c>
      <c r="B68" s="1">
        <v>17</v>
      </c>
      <c r="C68" s="1" t="s">
        <v>257</v>
      </c>
      <c r="D68" s="8">
        <v>245</v>
      </c>
      <c r="E68" s="5" t="s">
        <v>84</v>
      </c>
      <c r="F68" s="9">
        <f t="shared" si="2"/>
        <v>1.4411764705882353E-2</v>
      </c>
    </row>
    <row r="69" spans="1:6" x14ac:dyDescent="0.25">
      <c r="A69" s="1" t="s">
        <v>159</v>
      </c>
      <c r="B69" s="1">
        <v>7</v>
      </c>
      <c r="C69" s="1" t="s">
        <v>257</v>
      </c>
      <c r="D69" s="8">
        <v>195</v>
      </c>
      <c r="E69" s="5" t="s">
        <v>84</v>
      </c>
      <c r="F69" s="9">
        <f t="shared" si="2"/>
        <v>2.7857142857142858E-2</v>
      </c>
    </row>
    <row r="70" spans="1:6" x14ac:dyDescent="0.25">
      <c r="A70" s="1" t="s">
        <v>247</v>
      </c>
      <c r="B70" s="1">
        <v>1</v>
      </c>
      <c r="C70" s="1" t="s">
        <v>257</v>
      </c>
      <c r="D70" s="8">
        <v>7.5</v>
      </c>
      <c r="E70" s="5" t="s">
        <v>84</v>
      </c>
      <c r="F70" s="9">
        <f t="shared" si="2"/>
        <v>7.4999999999999997E-3</v>
      </c>
    </row>
    <row r="71" spans="1:6" hidden="1" x14ac:dyDescent="0.25">
      <c r="A71" s="1" t="s">
        <v>8</v>
      </c>
      <c r="B71" s="1">
        <v>200</v>
      </c>
      <c r="C71" s="1" t="s">
        <v>84</v>
      </c>
      <c r="D71" s="8">
        <v>4.45</v>
      </c>
      <c r="E71" s="5" t="str">
        <f t="shared" ref="E71:E122" si="3">C71</f>
        <v>גרם</v>
      </c>
      <c r="F71" s="5">
        <f t="shared" si="2"/>
        <v>2.2250000000000002E-2</v>
      </c>
    </row>
    <row r="72" spans="1:6" hidden="1" x14ac:dyDescent="0.25">
      <c r="A72" s="1" t="s">
        <v>85</v>
      </c>
      <c r="B72" s="1"/>
      <c r="C72" s="1"/>
      <c r="D72" s="8">
        <v>34</v>
      </c>
      <c r="E72" s="5">
        <f t="shared" si="3"/>
        <v>0</v>
      </c>
      <c r="F72" s="5" t="str">
        <f t="shared" si="2"/>
        <v>NA</v>
      </c>
    </row>
    <row r="73" spans="1:6" x14ac:dyDescent="0.25">
      <c r="A73" s="1" t="s">
        <v>249</v>
      </c>
      <c r="B73" s="1">
        <v>1</v>
      </c>
      <c r="C73" s="1" t="s">
        <v>257</v>
      </c>
      <c r="D73" s="8">
        <v>13.5</v>
      </c>
      <c r="E73" s="5" t="s">
        <v>84</v>
      </c>
      <c r="F73" s="9">
        <f t="shared" si="2"/>
        <v>1.35E-2</v>
      </c>
    </row>
    <row r="74" spans="1:6" x14ac:dyDescent="0.25">
      <c r="A74" s="1" t="s">
        <v>248</v>
      </c>
      <c r="B74" s="1">
        <v>1</v>
      </c>
      <c r="C74" s="1" t="s">
        <v>257</v>
      </c>
      <c r="D74" s="8">
        <v>13.5</v>
      </c>
      <c r="E74" s="5" t="s">
        <v>84</v>
      </c>
      <c r="F74" s="9">
        <f t="shared" si="2"/>
        <v>1.35E-2</v>
      </c>
    </row>
    <row r="75" spans="1:6" hidden="1" x14ac:dyDescent="0.25">
      <c r="A75" s="1" t="s">
        <v>9</v>
      </c>
      <c r="B75" s="1"/>
      <c r="C75" s="1"/>
      <c r="D75" s="8">
        <v>7.6</v>
      </c>
      <c r="E75" s="5">
        <f t="shared" si="3"/>
        <v>0</v>
      </c>
      <c r="F75" s="5" t="str">
        <f t="shared" si="2"/>
        <v>NA</v>
      </c>
    </row>
    <row r="76" spans="1:6" hidden="1" x14ac:dyDescent="0.25">
      <c r="A76" s="1" t="s">
        <v>10</v>
      </c>
      <c r="B76" s="1"/>
      <c r="C76" s="1"/>
      <c r="D76" s="8">
        <v>7.6</v>
      </c>
      <c r="E76" s="5">
        <f t="shared" si="3"/>
        <v>0</v>
      </c>
      <c r="F76" s="5" t="str">
        <f t="shared" si="2"/>
        <v>NA</v>
      </c>
    </row>
    <row r="77" spans="1:6" x14ac:dyDescent="0.25">
      <c r="A77" s="1" t="s">
        <v>37</v>
      </c>
      <c r="B77" s="1">
        <v>1</v>
      </c>
      <c r="C77" s="1" t="s">
        <v>257</v>
      </c>
      <c r="D77" s="8">
        <v>88</v>
      </c>
      <c r="E77" s="5" t="s">
        <v>84</v>
      </c>
      <c r="F77" s="9">
        <f t="shared" si="2"/>
        <v>8.7999999999999995E-2</v>
      </c>
    </row>
    <row r="78" spans="1:6" x14ac:dyDescent="0.25">
      <c r="A78" s="1" t="s">
        <v>25</v>
      </c>
      <c r="B78" s="1">
        <v>1</v>
      </c>
      <c r="C78" s="1" t="s">
        <v>257</v>
      </c>
      <c r="D78" s="8">
        <v>13.9</v>
      </c>
      <c r="E78" s="5" t="s">
        <v>84</v>
      </c>
      <c r="F78" s="9">
        <f t="shared" si="2"/>
        <v>1.3900000000000001E-2</v>
      </c>
    </row>
    <row r="79" spans="1:6" x14ac:dyDescent="0.25">
      <c r="A79" s="1" t="s">
        <v>59</v>
      </c>
      <c r="B79" s="1">
        <v>2</v>
      </c>
      <c r="C79" s="1" t="s">
        <v>257</v>
      </c>
      <c r="D79" s="8">
        <v>9</v>
      </c>
      <c r="E79" s="5" t="s">
        <v>84</v>
      </c>
      <c r="F79" s="9">
        <f t="shared" si="2"/>
        <v>4.4999999999999997E-3</v>
      </c>
    </row>
    <row r="80" spans="1:6" x14ac:dyDescent="0.25">
      <c r="A80" s="1" t="s">
        <v>26</v>
      </c>
      <c r="B80" s="1">
        <v>1</v>
      </c>
      <c r="C80" s="1" t="s">
        <v>257</v>
      </c>
      <c r="D80" s="8">
        <v>14</v>
      </c>
      <c r="E80" s="5" t="s">
        <v>84</v>
      </c>
      <c r="F80" s="9">
        <f t="shared" si="2"/>
        <v>1.4E-2</v>
      </c>
    </row>
    <row r="81" spans="1:6" hidden="1" x14ac:dyDescent="0.25">
      <c r="A81" s="1" t="s">
        <v>92</v>
      </c>
      <c r="B81" s="1">
        <v>750</v>
      </c>
      <c r="C81" s="1" t="s">
        <v>258</v>
      </c>
      <c r="D81" s="8">
        <v>12</v>
      </c>
      <c r="E81" s="5" t="str">
        <f t="shared" si="3"/>
        <v>מל</v>
      </c>
      <c r="F81" s="5">
        <f t="shared" si="2"/>
        <v>1.6E-2</v>
      </c>
    </row>
    <row r="82" spans="1:6" hidden="1" x14ac:dyDescent="0.25">
      <c r="A82" s="1" t="s">
        <v>93</v>
      </c>
      <c r="B82" s="1">
        <v>500</v>
      </c>
      <c r="C82" s="1" t="s">
        <v>84</v>
      </c>
      <c r="D82" s="8">
        <v>6.5</v>
      </c>
      <c r="E82" s="5" t="str">
        <f t="shared" si="3"/>
        <v>גרם</v>
      </c>
      <c r="F82" s="5">
        <f t="shared" si="2"/>
        <v>1.2999999999999999E-2</v>
      </c>
    </row>
    <row r="83" spans="1:6" x14ac:dyDescent="0.25">
      <c r="A83" s="1" t="s">
        <v>27</v>
      </c>
      <c r="B83" s="1">
        <v>1</v>
      </c>
      <c r="C83" s="1" t="s">
        <v>257</v>
      </c>
      <c r="D83" s="8">
        <v>21</v>
      </c>
      <c r="E83" s="5" t="s">
        <v>84</v>
      </c>
      <c r="F83" s="9">
        <f t="shared" si="2"/>
        <v>2.1000000000000001E-2</v>
      </c>
    </row>
    <row r="84" spans="1:6" hidden="1" x14ac:dyDescent="0.25">
      <c r="A84" s="1" t="s">
        <v>11</v>
      </c>
      <c r="B84" s="1"/>
      <c r="C84" s="1"/>
      <c r="D84" s="8">
        <v>6</v>
      </c>
      <c r="E84" s="5">
        <f t="shared" si="3"/>
        <v>0</v>
      </c>
      <c r="F84" s="5" t="str">
        <f t="shared" si="2"/>
        <v>NA</v>
      </c>
    </row>
    <row r="85" spans="1:6" x14ac:dyDescent="0.25">
      <c r="A85" s="1" t="s">
        <v>244</v>
      </c>
      <c r="B85" s="1">
        <v>1</v>
      </c>
      <c r="C85" s="1" t="s">
        <v>257</v>
      </c>
      <c r="D85" s="8">
        <v>19.5</v>
      </c>
      <c r="E85" s="5" t="s">
        <v>84</v>
      </c>
      <c r="F85" s="9">
        <f t="shared" si="2"/>
        <v>1.95E-2</v>
      </c>
    </row>
    <row r="86" spans="1:6" x14ac:dyDescent="0.25">
      <c r="A86" s="1" t="s">
        <v>196</v>
      </c>
      <c r="B86" s="1">
        <v>2.5</v>
      </c>
      <c r="C86" s="1" t="s">
        <v>257</v>
      </c>
      <c r="D86" s="8">
        <v>24</v>
      </c>
      <c r="E86" s="5" t="s">
        <v>84</v>
      </c>
      <c r="F86" s="9">
        <f t="shared" si="2"/>
        <v>9.5999999999999992E-3</v>
      </c>
    </row>
    <row r="87" spans="1:6" x14ac:dyDescent="0.25">
      <c r="A87" s="1" t="s">
        <v>195</v>
      </c>
      <c r="B87" s="1">
        <v>2</v>
      </c>
      <c r="C87" s="1" t="s">
        <v>257</v>
      </c>
      <c r="D87" s="8">
        <v>23</v>
      </c>
      <c r="E87" s="5" t="s">
        <v>84</v>
      </c>
      <c r="F87" s="9">
        <f t="shared" si="2"/>
        <v>1.15E-2</v>
      </c>
    </row>
    <row r="88" spans="1:6" x14ac:dyDescent="0.25">
      <c r="A88" s="1" t="s">
        <v>38</v>
      </c>
      <c r="B88" s="1">
        <v>1</v>
      </c>
      <c r="C88" s="1" t="s">
        <v>257</v>
      </c>
      <c r="D88" s="8">
        <v>38</v>
      </c>
      <c r="E88" s="5" t="s">
        <v>84</v>
      </c>
      <c r="F88" s="9">
        <f t="shared" si="2"/>
        <v>3.7999999999999999E-2</v>
      </c>
    </row>
    <row r="89" spans="1:6" x14ac:dyDescent="0.25">
      <c r="A89" s="1" t="s">
        <v>155</v>
      </c>
      <c r="B89" s="1">
        <v>2</v>
      </c>
      <c r="C89" s="1" t="s">
        <v>257</v>
      </c>
      <c r="D89" s="8">
        <v>50</v>
      </c>
      <c r="E89" s="5" t="s">
        <v>84</v>
      </c>
      <c r="F89" s="9">
        <f t="shared" si="2"/>
        <v>2.5000000000000001E-2</v>
      </c>
    </row>
    <row r="90" spans="1:6" hidden="1" x14ac:dyDescent="0.25">
      <c r="A90" s="1" t="s">
        <v>100</v>
      </c>
      <c r="B90" s="1">
        <v>200</v>
      </c>
      <c r="C90" s="1" t="s">
        <v>258</v>
      </c>
      <c r="D90" s="8">
        <v>10</v>
      </c>
      <c r="E90" s="5" t="str">
        <f t="shared" si="3"/>
        <v>מל</v>
      </c>
      <c r="F90" s="5">
        <f t="shared" si="2"/>
        <v>0.05</v>
      </c>
    </row>
    <row r="91" spans="1:6" hidden="1" x14ac:dyDescent="0.25">
      <c r="A91" s="1" t="s">
        <v>101</v>
      </c>
      <c r="B91" s="1">
        <v>390</v>
      </c>
      <c r="C91" s="1" t="s">
        <v>84</v>
      </c>
      <c r="D91" s="8">
        <v>5.3</v>
      </c>
      <c r="E91" s="5" t="str">
        <f t="shared" si="3"/>
        <v>גרם</v>
      </c>
      <c r="F91" s="5">
        <f t="shared" si="2"/>
        <v>1.3589743589743589E-2</v>
      </c>
    </row>
    <row r="92" spans="1:6" hidden="1" x14ac:dyDescent="0.25">
      <c r="A92" s="1" t="s">
        <v>102</v>
      </c>
      <c r="B92" s="1">
        <v>1</v>
      </c>
      <c r="C92" s="1" t="s">
        <v>64</v>
      </c>
      <c r="D92" s="8">
        <v>12.5</v>
      </c>
      <c r="E92" s="5" t="s">
        <v>64</v>
      </c>
      <c r="F92" s="5">
        <f t="shared" si="2"/>
        <v>12.5</v>
      </c>
    </row>
    <row r="93" spans="1:6" x14ac:dyDescent="0.25">
      <c r="A93" s="1" t="s">
        <v>154</v>
      </c>
      <c r="B93" s="1">
        <v>2</v>
      </c>
      <c r="C93" s="1" t="s">
        <v>257</v>
      </c>
      <c r="D93" s="8">
        <v>50</v>
      </c>
      <c r="E93" s="5" t="s">
        <v>84</v>
      </c>
      <c r="F93" s="9">
        <f t="shared" si="2"/>
        <v>2.5000000000000001E-2</v>
      </c>
    </row>
    <row r="94" spans="1:6" x14ac:dyDescent="0.25">
      <c r="A94" s="1" t="s">
        <v>193</v>
      </c>
      <c r="B94" s="1">
        <v>1</v>
      </c>
      <c r="C94" s="1" t="s">
        <v>257</v>
      </c>
      <c r="D94" s="8">
        <v>54</v>
      </c>
      <c r="E94" s="5" t="s">
        <v>84</v>
      </c>
      <c r="F94" s="9">
        <f t="shared" si="2"/>
        <v>5.3999999999999999E-2</v>
      </c>
    </row>
    <row r="95" spans="1:6" hidden="1" x14ac:dyDescent="0.25">
      <c r="A95" s="1" t="s">
        <v>105</v>
      </c>
      <c r="B95" s="1">
        <v>500</v>
      </c>
      <c r="C95" s="1" t="s">
        <v>84</v>
      </c>
      <c r="D95" s="8">
        <v>48.9</v>
      </c>
      <c r="E95" s="5" t="str">
        <f t="shared" si="3"/>
        <v>גרם</v>
      </c>
      <c r="F95" s="5">
        <f t="shared" si="2"/>
        <v>9.7799999999999998E-2</v>
      </c>
    </row>
    <row r="96" spans="1:6" x14ac:dyDescent="0.25">
      <c r="A96" s="1" t="s">
        <v>229</v>
      </c>
      <c r="B96" s="1">
        <v>1</v>
      </c>
      <c r="C96" s="1" t="s">
        <v>257</v>
      </c>
      <c r="D96" s="8">
        <v>44</v>
      </c>
      <c r="E96" s="5" t="s">
        <v>84</v>
      </c>
      <c r="F96" s="9">
        <f t="shared" si="2"/>
        <v>4.3999999999999997E-2</v>
      </c>
    </row>
    <row r="97" spans="1:6" hidden="1" x14ac:dyDescent="0.25">
      <c r="A97" s="1" t="s">
        <v>107</v>
      </c>
      <c r="B97" s="1">
        <v>500</v>
      </c>
      <c r="C97" s="1" t="s">
        <v>258</v>
      </c>
      <c r="D97" s="8">
        <v>10.9</v>
      </c>
      <c r="E97" s="5" t="str">
        <f t="shared" si="3"/>
        <v>מל</v>
      </c>
      <c r="F97" s="5">
        <f t="shared" si="2"/>
        <v>2.18E-2</v>
      </c>
    </row>
    <row r="98" spans="1:6" hidden="1" x14ac:dyDescent="0.25">
      <c r="A98" s="1" t="s">
        <v>108</v>
      </c>
      <c r="B98" s="1">
        <v>500</v>
      </c>
      <c r="C98" s="1" t="s">
        <v>84</v>
      </c>
      <c r="D98" s="8">
        <v>22</v>
      </c>
      <c r="E98" s="5" t="str">
        <f t="shared" si="3"/>
        <v>גרם</v>
      </c>
      <c r="F98" s="5">
        <f t="shared" si="2"/>
        <v>4.3999999999999997E-2</v>
      </c>
    </row>
    <row r="99" spans="1:6" hidden="1" x14ac:dyDescent="0.25">
      <c r="A99" s="1" t="s">
        <v>109</v>
      </c>
      <c r="B99" s="1">
        <v>400</v>
      </c>
      <c r="C99" s="1" t="s">
        <v>84</v>
      </c>
      <c r="D99" s="8">
        <v>5.6</v>
      </c>
      <c r="E99" s="5" t="str">
        <f t="shared" si="3"/>
        <v>גרם</v>
      </c>
      <c r="F99" s="5">
        <f t="shared" si="2"/>
        <v>1.3999999999999999E-2</v>
      </c>
    </row>
    <row r="100" spans="1:6" x14ac:dyDescent="0.25">
      <c r="A100" s="1" t="s">
        <v>228</v>
      </c>
      <c r="B100" s="1">
        <v>1</v>
      </c>
      <c r="C100" s="1" t="s">
        <v>257</v>
      </c>
      <c r="D100" s="8">
        <v>38</v>
      </c>
      <c r="E100" s="5" t="s">
        <v>84</v>
      </c>
      <c r="F100" s="9">
        <f t="shared" si="2"/>
        <v>3.7999999999999999E-2</v>
      </c>
    </row>
    <row r="101" spans="1:6" x14ac:dyDescent="0.25">
      <c r="A101" s="1" t="s">
        <v>192</v>
      </c>
      <c r="B101" s="1">
        <v>2</v>
      </c>
      <c r="C101" s="1" t="s">
        <v>257</v>
      </c>
      <c r="D101" s="8">
        <v>45</v>
      </c>
      <c r="E101" s="5" t="s">
        <v>84</v>
      </c>
      <c r="F101" s="9">
        <f t="shared" si="2"/>
        <v>2.2499999999999999E-2</v>
      </c>
    </row>
    <row r="102" spans="1:6" x14ac:dyDescent="0.25">
      <c r="A102" s="1" t="s">
        <v>191</v>
      </c>
      <c r="B102" s="1">
        <v>2</v>
      </c>
      <c r="C102" s="1" t="s">
        <v>257</v>
      </c>
      <c r="D102" s="8">
        <v>41</v>
      </c>
      <c r="E102" s="5" t="s">
        <v>84</v>
      </c>
      <c r="F102" s="9">
        <f t="shared" si="2"/>
        <v>2.0500000000000001E-2</v>
      </c>
    </row>
    <row r="103" spans="1:6" x14ac:dyDescent="0.25">
      <c r="A103" s="1" t="s">
        <v>227</v>
      </c>
      <c r="B103" s="1">
        <v>1</v>
      </c>
      <c r="C103" s="1" t="s">
        <v>257</v>
      </c>
      <c r="D103" s="8">
        <v>37</v>
      </c>
      <c r="E103" s="5" t="s">
        <v>84</v>
      </c>
      <c r="F103" s="9">
        <f t="shared" si="2"/>
        <v>3.6999999999999998E-2</v>
      </c>
    </row>
    <row r="104" spans="1:6" x14ac:dyDescent="0.25">
      <c r="A104" s="1" t="s">
        <v>185</v>
      </c>
      <c r="B104" s="1">
        <v>1</v>
      </c>
      <c r="C104" s="1" t="s">
        <v>257</v>
      </c>
      <c r="D104" s="8">
        <v>62</v>
      </c>
      <c r="E104" s="5" t="s">
        <v>84</v>
      </c>
      <c r="F104" s="9">
        <f t="shared" si="2"/>
        <v>6.2E-2</v>
      </c>
    </row>
    <row r="105" spans="1:6" hidden="1" x14ac:dyDescent="0.25">
      <c r="A105" s="1" t="s">
        <v>115</v>
      </c>
      <c r="B105" s="1">
        <v>2</v>
      </c>
      <c r="C105" s="1" t="s">
        <v>64</v>
      </c>
      <c r="D105" s="8">
        <v>48</v>
      </c>
      <c r="E105" s="5" t="s">
        <v>64</v>
      </c>
      <c r="F105" s="5">
        <f t="shared" si="2"/>
        <v>24</v>
      </c>
    </row>
    <row r="106" spans="1:6" x14ac:dyDescent="0.25">
      <c r="A106" s="1" t="s">
        <v>184</v>
      </c>
      <c r="B106" s="1">
        <v>1</v>
      </c>
      <c r="C106" s="1" t="s">
        <v>257</v>
      </c>
      <c r="D106" s="8">
        <v>62</v>
      </c>
      <c r="E106" s="5" t="s">
        <v>84</v>
      </c>
      <c r="F106" s="9">
        <f t="shared" si="2"/>
        <v>6.2E-2</v>
      </c>
    </row>
    <row r="107" spans="1:6" hidden="1" x14ac:dyDescent="0.25">
      <c r="A107" s="1" t="s">
        <v>117</v>
      </c>
      <c r="B107" s="1">
        <v>5</v>
      </c>
      <c r="C107" s="1" t="s">
        <v>64</v>
      </c>
      <c r="D107" s="8">
        <v>48.5</v>
      </c>
      <c r="E107" s="5" t="s">
        <v>64</v>
      </c>
      <c r="F107" s="5">
        <f t="shared" si="2"/>
        <v>9.6999999999999993</v>
      </c>
    </row>
    <row r="108" spans="1:6" hidden="1" x14ac:dyDescent="0.25">
      <c r="A108" s="1" t="s">
        <v>118</v>
      </c>
      <c r="B108" s="1">
        <v>3.8</v>
      </c>
      <c r="C108" s="1" t="s">
        <v>64</v>
      </c>
      <c r="D108" s="8">
        <v>94</v>
      </c>
      <c r="E108" s="5" t="s">
        <v>64</v>
      </c>
      <c r="F108" s="5">
        <f t="shared" si="2"/>
        <v>24.736842105263158</v>
      </c>
    </row>
    <row r="109" spans="1:6" x14ac:dyDescent="0.25">
      <c r="A109" s="1" t="s">
        <v>180</v>
      </c>
      <c r="B109" s="1">
        <v>1</v>
      </c>
      <c r="C109" s="1" t="s">
        <v>257</v>
      </c>
      <c r="D109" s="8">
        <v>68</v>
      </c>
      <c r="E109" s="5" t="s">
        <v>84</v>
      </c>
      <c r="F109" s="9">
        <f t="shared" si="2"/>
        <v>6.8000000000000005E-2</v>
      </c>
    </row>
    <row r="110" spans="1:6" hidden="1" x14ac:dyDescent="0.25">
      <c r="A110" s="1" t="s">
        <v>12</v>
      </c>
      <c r="B110" s="1"/>
      <c r="C110" s="1"/>
      <c r="D110" s="8">
        <v>16.5</v>
      </c>
      <c r="E110" s="5">
        <f t="shared" si="3"/>
        <v>0</v>
      </c>
      <c r="F110" s="5" t="str">
        <f t="shared" si="2"/>
        <v>NA</v>
      </c>
    </row>
    <row r="111" spans="1:6" x14ac:dyDescent="0.25">
      <c r="A111" s="1" t="s">
        <v>182</v>
      </c>
      <c r="B111" s="1">
        <v>1</v>
      </c>
      <c r="C111" s="1" t="s">
        <v>257</v>
      </c>
      <c r="D111" s="8">
        <v>46</v>
      </c>
      <c r="E111" s="5" t="s">
        <v>84</v>
      </c>
      <c r="F111" s="9">
        <f t="shared" si="2"/>
        <v>4.5999999999999999E-2</v>
      </c>
    </row>
    <row r="112" spans="1:6" x14ac:dyDescent="0.25">
      <c r="A112" s="1" t="s">
        <v>166</v>
      </c>
      <c r="B112" s="1">
        <v>5</v>
      </c>
      <c r="C112" s="1" t="s">
        <v>257</v>
      </c>
      <c r="D112" s="8">
        <v>260</v>
      </c>
      <c r="E112" s="5" t="s">
        <v>84</v>
      </c>
      <c r="F112" s="9">
        <f t="shared" si="2"/>
        <v>5.1999999999999998E-2</v>
      </c>
    </row>
    <row r="113" spans="1:6" x14ac:dyDescent="0.25">
      <c r="A113" s="1" t="s">
        <v>104</v>
      </c>
      <c r="B113" s="1">
        <v>4</v>
      </c>
      <c r="C113" s="1" t="s">
        <v>257</v>
      </c>
      <c r="D113" s="8">
        <v>41</v>
      </c>
      <c r="E113" s="5" t="s">
        <v>84</v>
      </c>
      <c r="F113" s="9">
        <f t="shared" si="2"/>
        <v>1.025E-2</v>
      </c>
    </row>
    <row r="114" spans="1:6" hidden="1" x14ac:dyDescent="0.25">
      <c r="A114" s="1" t="s">
        <v>123</v>
      </c>
      <c r="B114" s="1">
        <v>360</v>
      </c>
      <c r="C114" s="1" t="s">
        <v>84</v>
      </c>
      <c r="D114" s="8">
        <v>6</v>
      </c>
      <c r="E114" s="5" t="str">
        <f t="shared" si="3"/>
        <v>גרם</v>
      </c>
      <c r="F114" s="5">
        <f t="shared" si="2"/>
        <v>1.6666666666666666E-2</v>
      </c>
    </row>
    <row r="115" spans="1:6" hidden="1" x14ac:dyDescent="0.25">
      <c r="A115" s="1" t="s">
        <v>124</v>
      </c>
      <c r="B115" s="1">
        <v>670</v>
      </c>
      <c r="C115" s="1" t="s">
        <v>84</v>
      </c>
      <c r="D115" s="8">
        <v>5.8</v>
      </c>
      <c r="E115" s="5" t="str">
        <f t="shared" si="3"/>
        <v>גרם</v>
      </c>
      <c r="F115" s="5">
        <f t="shared" si="2"/>
        <v>8.6567164179104476E-3</v>
      </c>
    </row>
    <row r="116" spans="1:6" hidden="1" x14ac:dyDescent="0.25">
      <c r="A116" s="1" t="s">
        <v>13</v>
      </c>
      <c r="B116" s="1"/>
      <c r="C116" s="1"/>
      <c r="D116" s="8">
        <v>19</v>
      </c>
      <c r="E116" s="5">
        <f t="shared" si="3"/>
        <v>0</v>
      </c>
      <c r="F116" s="5" t="str">
        <f t="shared" si="2"/>
        <v>NA</v>
      </c>
    </row>
    <row r="117" spans="1:6" x14ac:dyDescent="0.25">
      <c r="A117" s="1" t="s">
        <v>178</v>
      </c>
      <c r="B117" s="1">
        <v>1</v>
      </c>
      <c r="C117" s="1" t="s">
        <v>257</v>
      </c>
      <c r="D117" s="8">
        <v>66</v>
      </c>
      <c r="E117" s="5" t="s">
        <v>84</v>
      </c>
      <c r="F117" s="9">
        <f t="shared" si="2"/>
        <v>6.6000000000000003E-2</v>
      </c>
    </row>
    <row r="118" spans="1:6" hidden="1" x14ac:dyDescent="0.25">
      <c r="A118" s="1" t="s">
        <v>126</v>
      </c>
      <c r="B118" s="1">
        <v>45</v>
      </c>
      <c r="C118" s="1" t="s">
        <v>84</v>
      </c>
      <c r="D118" s="8">
        <v>3.2</v>
      </c>
      <c r="E118" s="5" t="str">
        <f t="shared" si="3"/>
        <v>גרם</v>
      </c>
      <c r="F118" s="5">
        <f t="shared" si="2"/>
        <v>7.1111111111111111E-2</v>
      </c>
    </row>
    <row r="119" spans="1:6" x14ac:dyDescent="0.25">
      <c r="A119" s="1" t="s">
        <v>167</v>
      </c>
      <c r="B119" s="1">
        <v>1</v>
      </c>
      <c r="C119" s="1" t="s">
        <v>257</v>
      </c>
      <c r="D119" s="8">
        <v>295</v>
      </c>
      <c r="E119" s="5" t="s">
        <v>84</v>
      </c>
      <c r="F119" s="9">
        <f t="shared" si="2"/>
        <v>0.29499999999999998</v>
      </c>
    </row>
    <row r="120" spans="1:6" hidden="1" x14ac:dyDescent="0.25">
      <c r="A120" s="1" t="s">
        <v>14</v>
      </c>
      <c r="B120" s="1"/>
      <c r="C120" s="1"/>
      <c r="D120" s="8">
        <v>4.2</v>
      </c>
      <c r="E120" s="5">
        <f t="shared" si="3"/>
        <v>0</v>
      </c>
      <c r="F120" s="5" t="str">
        <f t="shared" si="2"/>
        <v>NA</v>
      </c>
    </row>
    <row r="121" spans="1:6" x14ac:dyDescent="0.25">
      <c r="A121" s="1" t="s">
        <v>103</v>
      </c>
      <c r="B121" s="1">
        <v>4</v>
      </c>
      <c r="C121" s="1" t="s">
        <v>257</v>
      </c>
      <c r="D121" s="8">
        <v>98</v>
      </c>
      <c r="E121" s="5" t="s">
        <v>84</v>
      </c>
      <c r="F121" s="9">
        <f t="shared" si="2"/>
        <v>2.4500000000000001E-2</v>
      </c>
    </row>
    <row r="122" spans="1:6" hidden="1" x14ac:dyDescent="0.25">
      <c r="A122" s="1" t="s">
        <v>16</v>
      </c>
      <c r="B122" s="1"/>
      <c r="C122" s="1"/>
      <c r="D122" s="8">
        <v>15.5</v>
      </c>
      <c r="E122" s="5">
        <f t="shared" si="3"/>
        <v>0</v>
      </c>
      <c r="F122" s="5" t="str">
        <f t="shared" si="2"/>
        <v>NA</v>
      </c>
    </row>
    <row r="123" spans="1:6" x14ac:dyDescent="0.25">
      <c r="A123" s="1" t="s">
        <v>181</v>
      </c>
      <c r="B123" s="1">
        <v>1</v>
      </c>
      <c r="C123" s="1" t="s">
        <v>257</v>
      </c>
      <c r="D123" s="8">
        <v>68</v>
      </c>
      <c r="E123" s="5" t="s">
        <v>84</v>
      </c>
      <c r="F123" s="9">
        <f t="shared" si="2"/>
        <v>6.8000000000000005E-2</v>
      </c>
    </row>
    <row r="124" spans="1:6" x14ac:dyDescent="0.25">
      <c r="A124" s="1" t="s">
        <v>179</v>
      </c>
      <c r="B124" s="1">
        <v>1</v>
      </c>
      <c r="C124" s="1" t="s">
        <v>257</v>
      </c>
      <c r="D124" s="8">
        <v>59</v>
      </c>
      <c r="E124" s="5" t="s">
        <v>84</v>
      </c>
      <c r="F124" s="9">
        <f t="shared" si="2"/>
        <v>5.8999999999999997E-2</v>
      </c>
    </row>
    <row r="125" spans="1:6" x14ac:dyDescent="0.25">
      <c r="A125" s="1" t="s">
        <v>169</v>
      </c>
      <c r="B125" s="1">
        <v>5</v>
      </c>
      <c r="C125" s="1" t="s">
        <v>257</v>
      </c>
      <c r="D125" s="8">
        <v>300</v>
      </c>
      <c r="E125" s="5" t="s">
        <v>84</v>
      </c>
      <c r="F125" s="9">
        <f t="shared" si="2"/>
        <v>0.06</v>
      </c>
    </row>
    <row r="126" spans="1:6" x14ac:dyDescent="0.25">
      <c r="A126" s="1" t="s">
        <v>183</v>
      </c>
      <c r="B126" s="1">
        <v>1</v>
      </c>
      <c r="C126" s="1" t="s">
        <v>257</v>
      </c>
      <c r="D126" s="8">
        <v>49</v>
      </c>
      <c r="E126" s="5" t="s">
        <v>84</v>
      </c>
      <c r="F126" s="9">
        <f t="shared" si="2"/>
        <v>4.9000000000000002E-2</v>
      </c>
    </row>
    <row r="127" spans="1:6" x14ac:dyDescent="0.25">
      <c r="A127" s="1" t="s">
        <v>71</v>
      </c>
      <c r="B127" s="1">
        <v>5</v>
      </c>
      <c r="C127" s="1" t="s">
        <v>257</v>
      </c>
      <c r="D127" s="8">
        <v>64</v>
      </c>
      <c r="E127" s="5" t="s">
        <v>84</v>
      </c>
      <c r="F127" s="9">
        <f t="shared" si="2"/>
        <v>1.2800000000000001E-2</v>
      </c>
    </row>
    <row r="128" spans="1:6" x14ac:dyDescent="0.25">
      <c r="A128" s="1" t="s">
        <v>106</v>
      </c>
      <c r="B128" s="1">
        <v>1</v>
      </c>
      <c r="C128" s="1" t="s">
        <v>257</v>
      </c>
      <c r="D128" s="8">
        <v>17.8</v>
      </c>
      <c r="E128" s="5" t="s">
        <v>84</v>
      </c>
      <c r="F128" s="9">
        <f t="shared" si="2"/>
        <v>1.78E-2</v>
      </c>
    </row>
    <row r="129" spans="1:6" x14ac:dyDescent="0.25">
      <c r="A129" s="1" t="s">
        <v>113</v>
      </c>
      <c r="B129" s="1">
        <v>1</v>
      </c>
      <c r="C129" s="1" t="s">
        <v>257</v>
      </c>
      <c r="D129" s="8">
        <v>1.65</v>
      </c>
      <c r="E129" s="5" t="s">
        <v>84</v>
      </c>
      <c r="F129" s="9">
        <f t="shared" si="2"/>
        <v>1.65E-3</v>
      </c>
    </row>
    <row r="130" spans="1:6" x14ac:dyDescent="0.25">
      <c r="A130" s="1" t="s">
        <v>112</v>
      </c>
      <c r="B130" s="1">
        <v>1</v>
      </c>
      <c r="C130" s="1" t="s">
        <v>257</v>
      </c>
      <c r="D130" s="8">
        <v>13</v>
      </c>
      <c r="E130" s="5" t="s">
        <v>84</v>
      </c>
      <c r="F130" s="9">
        <f t="shared" si="2"/>
        <v>1.2999999999999999E-2</v>
      </c>
    </row>
    <row r="131" spans="1:6" x14ac:dyDescent="0.25">
      <c r="A131" s="1" t="s">
        <v>98</v>
      </c>
      <c r="B131" s="1">
        <v>2</v>
      </c>
      <c r="C131" s="1" t="s">
        <v>257</v>
      </c>
      <c r="D131" s="8">
        <v>18</v>
      </c>
      <c r="E131" s="5" t="s">
        <v>84</v>
      </c>
      <c r="F131" s="9">
        <f t="shared" ref="F131:F194" si="4">IF(OR(AND(E131="גרם",C131="קג"),AND(E131="מל",C131="ליטר")),(D131/B131)/1000,IF(OR(E131="יחידה",AND(E131="גרם",C131="גרם"),AND(E131="מל",C131="מל"),AND(E131="קג",C131="קג"),AND(E131="ליטר",C131="ליטר")),D131/B131,"NA"))</f>
        <v>8.9999999999999993E-3</v>
      </c>
    </row>
    <row r="132" spans="1:6" x14ac:dyDescent="0.25">
      <c r="A132" s="1" t="s">
        <v>170</v>
      </c>
      <c r="B132" s="1">
        <v>10</v>
      </c>
      <c r="C132" s="1" t="s">
        <v>257</v>
      </c>
      <c r="D132" s="8">
        <v>210</v>
      </c>
      <c r="E132" s="5" t="s">
        <v>84</v>
      </c>
      <c r="F132" s="9">
        <f t="shared" si="4"/>
        <v>2.1000000000000001E-2</v>
      </c>
    </row>
    <row r="133" spans="1:6" x14ac:dyDescent="0.25">
      <c r="A133" s="1" t="s">
        <v>173</v>
      </c>
      <c r="B133" s="1">
        <v>5</v>
      </c>
      <c r="C133" s="1" t="s">
        <v>257</v>
      </c>
      <c r="D133" s="8">
        <v>150</v>
      </c>
      <c r="E133" s="5" t="s">
        <v>84</v>
      </c>
      <c r="F133" s="9">
        <f t="shared" si="4"/>
        <v>0.03</v>
      </c>
    </row>
    <row r="134" spans="1:6" x14ac:dyDescent="0.25">
      <c r="A134" s="1" t="s">
        <v>171</v>
      </c>
      <c r="B134" s="1">
        <v>10</v>
      </c>
      <c r="C134" s="1" t="s">
        <v>257</v>
      </c>
      <c r="D134" s="8">
        <v>190</v>
      </c>
      <c r="E134" s="5" t="s">
        <v>84</v>
      </c>
      <c r="F134" s="9">
        <f t="shared" si="4"/>
        <v>1.9E-2</v>
      </c>
    </row>
    <row r="135" spans="1:6" x14ac:dyDescent="0.25">
      <c r="A135" s="1" t="s">
        <v>233</v>
      </c>
      <c r="B135" s="1">
        <v>1</v>
      </c>
      <c r="C135" s="1" t="s">
        <v>257</v>
      </c>
      <c r="D135" s="8">
        <v>71</v>
      </c>
      <c r="E135" s="5" t="s">
        <v>84</v>
      </c>
      <c r="F135" s="9">
        <f t="shared" si="4"/>
        <v>7.0999999999999994E-2</v>
      </c>
    </row>
    <row r="136" spans="1:6" x14ac:dyDescent="0.25">
      <c r="A136" s="1" t="s">
        <v>200</v>
      </c>
      <c r="B136" s="1"/>
      <c r="C136" s="1" t="s">
        <v>257</v>
      </c>
      <c r="D136" s="8">
        <v>76</v>
      </c>
      <c r="E136" s="5" t="s">
        <v>84</v>
      </c>
      <c r="F136" s="9" t="e">
        <f t="shared" si="4"/>
        <v>#DIV/0!</v>
      </c>
    </row>
    <row r="137" spans="1:6" x14ac:dyDescent="0.25">
      <c r="A137" s="1" t="s">
        <v>168</v>
      </c>
      <c r="B137" s="1">
        <v>1</v>
      </c>
      <c r="C137" s="1" t="s">
        <v>257</v>
      </c>
      <c r="D137" s="8">
        <v>395</v>
      </c>
      <c r="E137" s="5" t="s">
        <v>84</v>
      </c>
      <c r="F137" s="9">
        <f t="shared" si="4"/>
        <v>0.39500000000000002</v>
      </c>
    </row>
    <row r="138" spans="1:6" x14ac:dyDescent="0.25">
      <c r="A138" s="1" t="s">
        <v>143</v>
      </c>
      <c r="B138" s="1">
        <v>2</v>
      </c>
      <c r="C138" s="1" t="s">
        <v>257</v>
      </c>
      <c r="D138" s="8">
        <v>52</v>
      </c>
      <c r="E138" s="5" t="s">
        <v>84</v>
      </c>
      <c r="F138" s="9">
        <f t="shared" si="4"/>
        <v>2.5999999999999999E-2</v>
      </c>
    </row>
    <row r="139" spans="1:6" hidden="1" x14ac:dyDescent="0.25">
      <c r="A139" s="1" t="s">
        <v>144</v>
      </c>
      <c r="B139" s="1">
        <v>500</v>
      </c>
      <c r="C139" s="1" t="s">
        <v>84</v>
      </c>
      <c r="D139" s="8">
        <v>13.65</v>
      </c>
      <c r="E139" s="5" t="str">
        <f t="shared" ref="E139:E190" si="5">C139</f>
        <v>גרם</v>
      </c>
      <c r="F139" s="5">
        <f t="shared" si="4"/>
        <v>2.7300000000000001E-2</v>
      </c>
    </row>
    <row r="140" spans="1:6" x14ac:dyDescent="0.25">
      <c r="A140" s="1" t="s">
        <v>89</v>
      </c>
      <c r="B140" s="1">
        <v>1</v>
      </c>
      <c r="C140" s="1" t="s">
        <v>257</v>
      </c>
      <c r="D140" s="8">
        <v>18.8</v>
      </c>
      <c r="E140" s="5" t="s">
        <v>84</v>
      </c>
      <c r="F140" s="9">
        <f t="shared" si="4"/>
        <v>1.8800000000000001E-2</v>
      </c>
    </row>
    <row r="141" spans="1:6" x14ac:dyDescent="0.25">
      <c r="A141" s="1" t="s">
        <v>95</v>
      </c>
      <c r="B141" s="1">
        <v>1</v>
      </c>
      <c r="C141" s="1" t="s">
        <v>257</v>
      </c>
      <c r="D141" s="8">
        <v>4</v>
      </c>
      <c r="E141" s="5" t="s">
        <v>84</v>
      </c>
      <c r="F141" s="9">
        <f t="shared" si="4"/>
        <v>4.0000000000000001E-3</v>
      </c>
    </row>
    <row r="142" spans="1:6" x14ac:dyDescent="0.25">
      <c r="A142" s="1" t="s">
        <v>187</v>
      </c>
      <c r="B142" s="1">
        <v>1</v>
      </c>
      <c r="C142" s="1" t="s">
        <v>257</v>
      </c>
      <c r="D142" s="8">
        <v>7.5</v>
      </c>
      <c r="E142" s="5" t="s">
        <v>84</v>
      </c>
      <c r="F142" s="9">
        <f t="shared" si="4"/>
        <v>7.4999999999999997E-3</v>
      </c>
    </row>
    <row r="143" spans="1:6" x14ac:dyDescent="0.25">
      <c r="A143" s="1" t="s">
        <v>96</v>
      </c>
      <c r="B143" s="1">
        <v>5</v>
      </c>
      <c r="C143" s="1" t="s">
        <v>257</v>
      </c>
      <c r="D143" s="8">
        <v>8</v>
      </c>
      <c r="E143" s="5" t="s">
        <v>84</v>
      </c>
      <c r="F143" s="9">
        <f t="shared" si="4"/>
        <v>1.6000000000000001E-3</v>
      </c>
    </row>
    <row r="144" spans="1:6" hidden="1" x14ac:dyDescent="0.25">
      <c r="A144" s="1" t="s">
        <v>149</v>
      </c>
      <c r="B144" s="1">
        <v>500</v>
      </c>
      <c r="C144" s="1" t="s">
        <v>84</v>
      </c>
      <c r="D144" s="8">
        <v>156</v>
      </c>
      <c r="E144" s="5" t="str">
        <f t="shared" si="5"/>
        <v>גרם</v>
      </c>
      <c r="F144" s="5">
        <f t="shared" si="4"/>
        <v>0.312</v>
      </c>
    </row>
    <row r="145" spans="1:6" x14ac:dyDescent="0.25">
      <c r="A145" s="1" t="s">
        <v>148</v>
      </c>
      <c r="B145" s="1">
        <v>2</v>
      </c>
      <c r="C145" s="1" t="s">
        <v>257</v>
      </c>
      <c r="D145" s="8">
        <v>36</v>
      </c>
      <c r="E145" s="5" t="s">
        <v>84</v>
      </c>
      <c r="F145" s="9">
        <f t="shared" si="4"/>
        <v>1.7999999999999999E-2</v>
      </c>
    </row>
    <row r="146" spans="1:6" x14ac:dyDescent="0.25">
      <c r="A146" s="1" t="s">
        <v>145</v>
      </c>
      <c r="B146" s="1">
        <v>1</v>
      </c>
      <c r="C146" s="1" t="s">
        <v>257</v>
      </c>
      <c r="D146" s="8">
        <v>9</v>
      </c>
      <c r="E146" s="5" t="s">
        <v>84</v>
      </c>
      <c r="F146" s="9">
        <f t="shared" si="4"/>
        <v>8.9999999999999993E-3</v>
      </c>
    </row>
    <row r="147" spans="1:6" hidden="1" x14ac:dyDescent="0.25">
      <c r="A147" s="1" t="s">
        <v>152</v>
      </c>
      <c r="B147" s="1">
        <v>250</v>
      </c>
      <c r="C147" s="1" t="s">
        <v>84</v>
      </c>
      <c r="D147" s="8">
        <v>129</v>
      </c>
      <c r="E147" s="5" t="str">
        <f t="shared" si="5"/>
        <v>גרם</v>
      </c>
      <c r="F147" s="5">
        <f t="shared" si="4"/>
        <v>0.51600000000000001</v>
      </c>
    </row>
    <row r="148" spans="1:6" x14ac:dyDescent="0.25">
      <c r="A148" s="1" t="s">
        <v>110</v>
      </c>
      <c r="B148" s="1">
        <v>2</v>
      </c>
      <c r="C148" s="1" t="s">
        <v>257</v>
      </c>
      <c r="D148" s="8">
        <v>5.3</v>
      </c>
      <c r="E148" s="5" t="s">
        <v>84</v>
      </c>
      <c r="F148" s="9">
        <f t="shared" si="4"/>
        <v>2.65E-3</v>
      </c>
    </row>
    <row r="149" spans="1:6" x14ac:dyDescent="0.25">
      <c r="A149" s="1" t="s">
        <v>114</v>
      </c>
      <c r="B149" s="1">
        <v>2</v>
      </c>
      <c r="C149" s="1" t="s">
        <v>257</v>
      </c>
      <c r="D149" s="8">
        <v>8</v>
      </c>
      <c r="E149" s="5" t="s">
        <v>84</v>
      </c>
      <c r="F149" s="9">
        <f t="shared" si="4"/>
        <v>4.0000000000000001E-3</v>
      </c>
    </row>
    <row r="150" spans="1:6" x14ac:dyDescent="0.25">
      <c r="A150" s="1" t="s">
        <v>146</v>
      </c>
      <c r="B150" s="1">
        <v>1</v>
      </c>
      <c r="C150" s="1" t="s">
        <v>257</v>
      </c>
      <c r="D150" s="8">
        <v>9.85</v>
      </c>
      <c r="E150" s="5" t="s">
        <v>84</v>
      </c>
      <c r="F150" s="9">
        <f t="shared" si="4"/>
        <v>9.8499999999999994E-3</v>
      </c>
    </row>
    <row r="151" spans="1:6" hidden="1" x14ac:dyDescent="0.25">
      <c r="A151" s="1" t="s">
        <v>156</v>
      </c>
      <c r="B151" s="1">
        <v>40</v>
      </c>
      <c r="C151" s="1" t="s">
        <v>84</v>
      </c>
      <c r="D151" s="8">
        <v>60</v>
      </c>
      <c r="E151" s="5" t="str">
        <f t="shared" si="5"/>
        <v>גרם</v>
      </c>
      <c r="F151" s="5">
        <f t="shared" si="4"/>
        <v>1.5</v>
      </c>
    </row>
    <row r="152" spans="1:6" x14ac:dyDescent="0.25">
      <c r="A152" s="1" t="s">
        <v>111</v>
      </c>
      <c r="B152" s="1">
        <v>1</v>
      </c>
      <c r="C152" s="1" t="s">
        <v>257</v>
      </c>
      <c r="D152" s="8">
        <v>3.25</v>
      </c>
      <c r="E152" s="5" t="s">
        <v>84</v>
      </c>
      <c r="F152" s="9">
        <f t="shared" si="4"/>
        <v>3.2499999999999999E-3</v>
      </c>
    </row>
    <row r="153" spans="1:6" hidden="1" x14ac:dyDescent="0.25">
      <c r="A153" s="1" t="s">
        <v>158</v>
      </c>
      <c r="B153" s="1">
        <v>50</v>
      </c>
      <c r="C153" s="1" t="s">
        <v>84</v>
      </c>
      <c r="D153" s="8">
        <v>40</v>
      </c>
      <c r="E153" s="5" t="str">
        <f t="shared" si="5"/>
        <v>גרם</v>
      </c>
      <c r="F153" s="5">
        <f t="shared" si="4"/>
        <v>0.8</v>
      </c>
    </row>
    <row r="154" spans="1:6" x14ac:dyDescent="0.25">
      <c r="A154" s="1" t="s">
        <v>157</v>
      </c>
      <c r="B154" s="1">
        <v>2</v>
      </c>
      <c r="C154" s="1" t="s">
        <v>257</v>
      </c>
      <c r="D154" s="8">
        <v>99</v>
      </c>
      <c r="E154" s="5" t="s">
        <v>84</v>
      </c>
      <c r="F154" s="9">
        <f t="shared" si="4"/>
        <v>4.9500000000000002E-2</v>
      </c>
    </row>
    <row r="155" spans="1:6" x14ac:dyDescent="0.25">
      <c r="A155" s="1" t="s">
        <v>28</v>
      </c>
      <c r="B155" s="1">
        <v>1</v>
      </c>
      <c r="C155" s="1" t="s">
        <v>257</v>
      </c>
      <c r="D155" s="8">
        <v>25</v>
      </c>
      <c r="E155" s="5" t="s">
        <v>84</v>
      </c>
      <c r="F155" s="9">
        <f t="shared" si="4"/>
        <v>2.5000000000000001E-2</v>
      </c>
    </row>
    <row r="156" spans="1:6" x14ac:dyDescent="0.25">
      <c r="A156" s="1" t="s">
        <v>199</v>
      </c>
      <c r="B156" s="1"/>
      <c r="C156" s="1" t="s">
        <v>257</v>
      </c>
      <c r="D156" s="8">
        <v>47</v>
      </c>
      <c r="E156" s="5" t="s">
        <v>84</v>
      </c>
      <c r="F156" s="9" t="e">
        <f t="shared" si="4"/>
        <v>#DIV/0!</v>
      </c>
    </row>
    <row r="157" spans="1:6" x14ac:dyDescent="0.25">
      <c r="A157" s="1" t="s">
        <v>62</v>
      </c>
      <c r="B157" s="1">
        <v>5</v>
      </c>
      <c r="C157" s="1" t="s">
        <v>257</v>
      </c>
      <c r="D157" s="8">
        <v>31</v>
      </c>
      <c r="E157" s="5" t="s">
        <v>84</v>
      </c>
      <c r="F157" s="9">
        <f t="shared" si="4"/>
        <v>6.1999999999999998E-3</v>
      </c>
    </row>
    <row r="158" spans="1:6" x14ac:dyDescent="0.25">
      <c r="A158" s="1" t="s">
        <v>97</v>
      </c>
      <c r="B158" s="1">
        <v>5</v>
      </c>
      <c r="C158" s="1" t="s">
        <v>257</v>
      </c>
      <c r="D158" s="8">
        <v>41</v>
      </c>
      <c r="E158" s="5" t="s">
        <v>84</v>
      </c>
      <c r="F158" s="9">
        <f t="shared" si="4"/>
        <v>8.199999999999999E-3</v>
      </c>
    </row>
    <row r="159" spans="1:6" x14ac:dyDescent="0.25">
      <c r="A159" s="1" t="s">
        <v>238</v>
      </c>
      <c r="B159" s="1">
        <v>1</v>
      </c>
      <c r="C159" s="1" t="s">
        <v>257</v>
      </c>
      <c r="D159" s="8">
        <v>71</v>
      </c>
      <c r="E159" s="5" t="s">
        <v>84</v>
      </c>
      <c r="F159" s="9">
        <f t="shared" si="4"/>
        <v>7.0999999999999994E-2</v>
      </c>
    </row>
    <row r="160" spans="1:6" hidden="1" x14ac:dyDescent="0.25">
      <c r="A160" s="1" t="s">
        <v>165</v>
      </c>
      <c r="B160" s="1">
        <v>600</v>
      </c>
      <c r="C160" s="1" t="s">
        <v>84</v>
      </c>
      <c r="D160" s="8">
        <v>95</v>
      </c>
      <c r="E160" s="5" t="str">
        <f t="shared" si="5"/>
        <v>גרם</v>
      </c>
      <c r="F160" s="5">
        <f t="shared" si="4"/>
        <v>0.15833333333333333</v>
      </c>
    </row>
    <row r="161" spans="1:6" x14ac:dyDescent="0.25">
      <c r="A161" s="1" t="s">
        <v>127</v>
      </c>
      <c r="B161" s="1">
        <v>10</v>
      </c>
      <c r="C161" s="1" t="s">
        <v>257</v>
      </c>
      <c r="D161" s="8">
        <v>6.2</v>
      </c>
      <c r="E161" s="5" t="s">
        <v>84</v>
      </c>
      <c r="F161" s="9">
        <f t="shared" si="4"/>
        <v>6.2E-4</v>
      </c>
    </row>
    <row r="162" spans="1:6" x14ac:dyDescent="0.25">
      <c r="A162" s="1" t="s">
        <v>50</v>
      </c>
      <c r="B162" s="1">
        <v>2</v>
      </c>
      <c r="C162" s="1" t="s">
        <v>257</v>
      </c>
      <c r="D162" s="8">
        <v>6.9</v>
      </c>
      <c r="E162" s="5" t="s">
        <v>84</v>
      </c>
      <c r="F162" s="9">
        <f t="shared" si="4"/>
        <v>3.4500000000000004E-3</v>
      </c>
    </row>
    <row r="163" spans="1:6" x14ac:dyDescent="0.25">
      <c r="A163" s="1" t="s">
        <v>49</v>
      </c>
      <c r="B163" s="1">
        <v>2</v>
      </c>
      <c r="C163" s="1" t="s">
        <v>257</v>
      </c>
      <c r="D163" s="8">
        <v>8</v>
      </c>
      <c r="E163" s="5" t="s">
        <v>84</v>
      </c>
      <c r="F163" s="9">
        <f t="shared" si="4"/>
        <v>4.0000000000000001E-3</v>
      </c>
    </row>
    <row r="164" spans="1:6" x14ac:dyDescent="0.25">
      <c r="A164" s="1" t="s">
        <v>239</v>
      </c>
      <c r="B164" s="1">
        <v>1</v>
      </c>
      <c r="C164" s="1" t="s">
        <v>257</v>
      </c>
      <c r="D164" s="8">
        <v>48</v>
      </c>
      <c r="E164" s="5" t="s">
        <v>84</v>
      </c>
      <c r="F164" s="9">
        <f t="shared" si="4"/>
        <v>4.8000000000000001E-2</v>
      </c>
    </row>
    <row r="165" spans="1:6" x14ac:dyDescent="0.25">
      <c r="A165" s="1" t="s">
        <v>216</v>
      </c>
      <c r="B165" s="1">
        <v>4</v>
      </c>
      <c r="C165" s="1" t="s">
        <v>257</v>
      </c>
      <c r="D165" s="8">
        <v>61.5</v>
      </c>
      <c r="E165" s="5" t="s">
        <v>84</v>
      </c>
      <c r="F165" s="9">
        <f t="shared" si="4"/>
        <v>1.5375E-2</v>
      </c>
    </row>
    <row r="166" spans="1:6" x14ac:dyDescent="0.25">
      <c r="A166" s="1" t="s">
        <v>240</v>
      </c>
      <c r="B166" s="1">
        <v>1</v>
      </c>
      <c r="C166" s="1" t="s">
        <v>257</v>
      </c>
      <c r="D166" s="8">
        <v>56</v>
      </c>
      <c r="E166" s="5" t="s">
        <v>84</v>
      </c>
      <c r="F166" s="9">
        <f t="shared" si="4"/>
        <v>5.6000000000000001E-2</v>
      </c>
    </row>
    <row r="167" spans="1:6" x14ac:dyDescent="0.25">
      <c r="A167" s="1" t="s">
        <v>1</v>
      </c>
      <c r="B167" s="1">
        <v>1</v>
      </c>
      <c r="C167" s="1" t="s">
        <v>257</v>
      </c>
      <c r="D167" s="8">
        <v>38</v>
      </c>
      <c r="E167" s="5" t="s">
        <v>84</v>
      </c>
      <c r="F167" s="9">
        <f t="shared" si="4"/>
        <v>3.7999999999999999E-2</v>
      </c>
    </row>
    <row r="168" spans="1:6" x14ac:dyDescent="0.25">
      <c r="A168" s="1" t="s">
        <v>33</v>
      </c>
      <c r="B168" s="1">
        <v>1</v>
      </c>
      <c r="C168" s="1" t="s">
        <v>257</v>
      </c>
      <c r="D168" s="8">
        <v>45</v>
      </c>
      <c r="E168" s="5" t="s">
        <v>84</v>
      </c>
      <c r="F168" s="9">
        <f t="shared" si="4"/>
        <v>4.4999999999999998E-2</v>
      </c>
    </row>
    <row r="169" spans="1:6" x14ac:dyDescent="0.25">
      <c r="A169" s="1" t="s">
        <v>34</v>
      </c>
      <c r="B169" s="1">
        <v>1</v>
      </c>
      <c r="C169" s="1" t="s">
        <v>257</v>
      </c>
      <c r="D169" s="8">
        <v>36</v>
      </c>
      <c r="E169" s="5" t="s">
        <v>84</v>
      </c>
      <c r="F169" s="9">
        <f t="shared" si="4"/>
        <v>3.5999999999999997E-2</v>
      </c>
    </row>
    <row r="170" spans="1:6" x14ac:dyDescent="0.25">
      <c r="A170" s="1" t="s">
        <v>32</v>
      </c>
      <c r="B170" s="1">
        <v>1</v>
      </c>
      <c r="C170" s="1" t="s">
        <v>257</v>
      </c>
      <c r="D170" s="8">
        <v>35</v>
      </c>
      <c r="E170" s="5" t="s">
        <v>84</v>
      </c>
      <c r="F170" s="9">
        <f t="shared" si="4"/>
        <v>3.5000000000000003E-2</v>
      </c>
    </row>
    <row r="171" spans="1:6" x14ac:dyDescent="0.25">
      <c r="A171" s="1" t="s">
        <v>94</v>
      </c>
      <c r="B171" s="1">
        <v>1</v>
      </c>
      <c r="C171" s="1" t="s">
        <v>257</v>
      </c>
      <c r="D171" s="8">
        <v>19</v>
      </c>
      <c r="E171" s="5" t="s">
        <v>84</v>
      </c>
      <c r="F171" s="9">
        <f t="shared" si="4"/>
        <v>1.9E-2</v>
      </c>
    </row>
    <row r="172" spans="1:6" hidden="1" x14ac:dyDescent="0.25">
      <c r="A172" s="1" t="s">
        <v>177</v>
      </c>
      <c r="B172" s="1">
        <v>100</v>
      </c>
      <c r="C172" s="1" t="s">
        <v>42</v>
      </c>
      <c r="D172" s="8">
        <v>55</v>
      </c>
      <c r="E172" s="5" t="str">
        <f t="shared" si="5"/>
        <v>יחידה</v>
      </c>
      <c r="F172" s="5">
        <f t="shared" si="4"/>
        <v>0.55000000000000004</v>
      </c>
    </row>
    <row r="173" spans="1:6" x14ac:dyDescent="0.25">
      <c r="A173" s="1" t="s">
        <v>57</v>
      </c>
      <c r="B173" s="1">
        <v>1</v>
      </c>
      <c r="C173" s="1" t="s">
        <v>257</v>
      </c>
      <c r="D173" s="8">
        <v>26</v>
      </c>
      <c r="E173" s="5" t="s">
        <v>84</v>
      </c>
      <c r="F173" s="9">
        <f t="shared" si="4"/>
        <v>2.5999999999999999E-2</v>
      </c>
    </row>
    <row r="174" spans="1:6" x14ac:dyDescent="0.25">
      <c r="A174" s="1" t="s">
        <v>198</v>
      </c>
      <c r="B174" s="1"/>
      <c r="C174" s="1" t="s">
        <v>257</v>
      </c>
      <c r="D174" s="8">
        <v>76</v>
      </c>
      <c r="E174" s="5" t="s">
        <v>84</v>
      </c>
      <c r="F174" s="9" t="e">
        <f t="shared" si="4"/>
        <v>#DIV/0!</v>
      </c>
    </row>
    <row r="175" spans="1:6" x14ac:dyDescent="0.25">
      <c r="A175" s="1" t="s">
        <v>235</v>
      </c>
      <c r="B175" s="1">
        <v>1</v>
      </c>
      <c r="C175" s="1" t="s">
        <v>257</v>
      </c>
      <c r="D175" s="8">
        <v>68</v>
      </c>
      <c r="E175" s="5" t="s">
        <v>84</v>
      </c>
      <c r="F175" s="9">
        <f t="shared" si="4"/>
        <v>6.8000000000000005E-2</v>
      </c>
    </row>
    <row r="176" spans="1:6" x14ac:dyDescent="0.25">
      <c r="A176" s="1" t="s">
        <v>237</v>
      </c>
      <c r="B176" s="1">
        <v>1</v>
      </c>
      <c r="C176" s="1" t="s">
        <v>257</v>
      </c>
      <c r="D176" s="8">
        <v>72</v>
      </c>
      <c r="E176" s="5" t="s">
        <v>84</v>
      </c>
      <c r="F176" s="9">
        <f t="shared" si="4"/>
        <v>7.1999999999999995E-2</v>
      </c>
    </row>
    <row r="177" spans="1:6" x14ac:dyDescent="0.25">
      <c r="A177" s="1" t="s">
        <v>80</v>
      </c>
      <c r="B177" s="1">
        <v>2</v>
      </c>
      <c r="C177" s="1" t="s">
        <v>257</v>
      </c>
      <c r="D177" s="8">
        <v>18</v>
      </c>
      <c r="E177" s="5" t="s">
        <v>84</v>
      </c>
      <c r="F177" s="9">
        <f t="shared" si="4"/>
        <v>8.9999999999999993E-3</v>
      </c>
    </row>
    <row r="178" spans="1:6" x14ac:dyDescent="0.25">
      <c r="A178" s="1" t="s">
        <v>35</v>
      </c>
      <c r="B178" s="1">
        <v>1</v>
      </c>
      <c r="C178" s="1" t="s">
        <v>257</v>
      </c>
      <c r="D178" s="8">
        <v>62</v>
      </c>
      <c r="E178" s="5" t="s">
        <v>84</v>
      </c>
      <c r="F178" s="9">
        <f t="shared" si="4"/>
        <v>6.2E-2</v>
      </c>
    </row>
    <row r="179" spans="1:6" x14ac:dyDescent="0.25">
      <c r="A179" s="1" t="s">
        <v>31</v>
      </c>
      <c r="B179" s="1">
        <v>1</v>
      </c>
      <c r="C179" s="1" t="s">
        <v>257</v>
      </c>
      <c r="D179" s="8">
        <v>19</v>
      </c>
      <c r="E179" s="5" t="s">
        <v>84</v>
      </c>
      <c r="F179" s="9">
        <f t="shared" si="4"/>
        <v>1.9E-2</v>
      </c>
    </row>
    <row r="180" spans="1:6" x14ac:dyDescent="0.25">
      <c r="A180" s="1" t="s">
        <v>147</v>
      </c>
      <c r="B180" s="1">
        <v>1</v>
      </c>
      <c r="C180" s="1" t="s">
        <v>257</v>
      </c>
      <c r="D180" s="8">
        <v>8</v>
      </c>
      <c r="E180" s="5" t="s">
        <v>84</v>
      </c>
      <c r="F180" s="9">
        <f t="shared" si="4"/>
        <v>8.0000000000000002E-3</v>
      </c>
    </row>
    <row r="181" spans="1:6" x14ac:dyDescent="0.25">
      <c r="A181" s="1" t="s">
        <v>88</v>
      </c>
      <c r="B181" s="1">
        <v>1</v>
      </c>
      <c r="C181" s="1" t="s">
        <v>257</v>
      </c>
      <c r="D181" s="8">
        <v>5.2</v>
      </c>
      <c r="E181" s="5" t="s">
        <v>84</v>
      </c>
      <c r="F181" s="9">
        <f t="shared" si="4"/>
        <v>5.1999999999999998E-3</v>
      </c>
    </row>
    <row r="182" spans="1:6" x14ac:dyDescent="0.25">
      <c r="A182" s="1" t="s">
        <v>39</v>
      </c>
      <c r="B182" s="1">
        <v>1</v>
      </c>
      <c r="C182" s="1" t="s">
        <v>257</v>
      </c>
      <c r="D182" s="8">
        <v>18</v>
      </c>
      <c r="E182" s="5" t="s">
        <v>84</v>
      </c>
      <c r="F182" s="9">
        <f t="shared" si="4"/>
        <v>1.7999999999999999E-2</v>
      </c>
    </row>
    <row r="183" spans="1:6" x14ac:dyDescent="0.25">
      <c r="A183" s="1" t="s">
        <v>51</v>
      </c>
      <c r="B183" s="1">
        <v>2</v>
      </c>
      <c r="C183" s="1" t="s">
        <v>257</v>
      </c>
      <c r="D183" s="8">
        <v>11</v>
      </c>
      <c r="E183" s="5" t="s">
        <v>84</v>
      </c>
      <c r="F183" s="9">
        <f t="shared" si="4"/>
        <v>5.4999999999999997E-3</v>
      </c>
    </row>
    <row r="184" spans="1:6" hidden="1" x14ac:dyDescent="0.25">
      <c r="A184" s="1" t="s">
        <v>189</v>
      </c>
      <c r="B184" s="1">
        <v>200</v>
      </c>
      <c r="C184" s="1" t="s">
        <v>258</v>
      </c>
      <c r="D184" s="8">
        <v>1.7</v>
      </c>
      <c r="E184" s="5" t="str">
        <f t="shared" si="5"/>
        <v>מל</v>
      </c>
      <c r="F184" s="5">
        <f t="shared" si="4"/>
        <v>8.5000000000000006E-3</v>
      </c>
    </row>
    <row r="185" spans="1:6" x14ac:dyDescent="0.25">
      <c r="A185" s="1" t="s">
        <v>52</v>
      </c>
      <c r="B185" s="1">
        <v>2</v>
      </c>
      <c r="C185" s="1" t="s">
        <v>257</v>
      </c>
      <c r="D185" s="8">
        <v>9.5</v>
      </c>
      <c r="E185" s="5" t="s">
        <v>84</v>
      </c>
      <c r="F185" s="9">
        <f t="shared" si="4"/>
        <v>4.7499999999999999E-3</v>
      </c>
    </row>
    <row r="186" spans="1:6" x14ac:dyDescent="0.25">
      <c r="A186" s="1" t="s">
        <v>53</v>
      </c>
      <c r="B186" s="1">
        <v>2</v>
      </c>
      <c r="C186" s="1" t="s">
        <v>257</v>
      </c>
      <c r="D186" s="8">
        <v>14.9</v>
      </c>
      <c r="E186" s="5" t="s">
        <v>84</v>
      </c>
      <c r="F186" s="9">
        <f t="shared" si="4"/>
        <v>7.45E-3</v>
      </c>
    </row>
    <row r="187" spans="1:6" x14ac:dyDescent="0.25">
      <c r="A187" s="1" t="s">
        <v>29</v>
      </c>
      <c r="B187" s="1">
        <v>1</v>
      </c>
      <c r="C187" s="1" t="s">
        <v>257</v>
      </c>
      <c r="D187" s="8">
        <v>20.8</v>
      </c>
      <c r="E187" s="5" t="s">
        <v>84</v>
      </c>
      <c r="F187" s="9">
        <f t="shared" si="4"/>
        <v>2.0799999999999999E-2</v>
      </c>
    </row>
    <row r="188" spans="1:6" x14ac:dyDescent="0.25">
      <c r="A188" s="1" t="s">
        <v>41</v>
      </c>
      <c r="B188" s="1">
        <v>1</v>
      </c>
      <c r="C188" s="1" t="s">
        <v>257</v>
      </c>
      <c r="D188" s="8">
        <v>33</v>
      </c>
      <c r="E188" s="5" t="s">
        <v>84</v>
      </c>
      <c r="F188" s="9">
        <f t="shared" si="4"/>
        <v>3.3000000000000002E-2</v>
      </c>
    </row>
    <row r="189" spans="1:6" x14ac:dyDescent="0.25">
      <c r="A189" s="1" t="s">
        <v>236</v>
      </c>
      <c r="B189" s="1">
        <v>1</v>
      </c>
      <c r="C189" s="1" t="s">
        <v>257</v>
      </c>
      <c r="D189" s="8">
        <v>57</v>
      </c>
      <c r="E189" s="5" t="s">
        <v>84</v>
      </c>
      <c r="F189" s="9">
        <f t="shared" si="4"/>
        <v>5.7000000000000002E-2</v>
      </c>
    </row>
    <row r="190" spans="1:6" hidden="1" x14ac:dyDescent="0.25">
      <c r="A190" s="1" t="s">
        <v>194</v>
      </c>
      <c r="B190" s="1">
        <v>12</v>
      </c>
      <c r="C190" s="1" t="s">
        <v>42</v>
      </c>
      <c r="D190" s="8">
        <v>180</v>
      </c>
      <c r="E190" s="5" t="str">
        <f t="shared" si="5"/>
        <v>יחידה</v>
      </c>
      <c r="F190" s="5">
        <f t="shared" si="4"/>
        <v>15</v>
      </c>
    </row>
    <row r="191" spans="1:6" x14ac:dyDescent="0.25">
      <c r="A191" s="1" t="s">
        <v>128</v>
      </c>
      <c r="B191" s="1">
        <v>8</v>
      </c>
      <c r="C191" s="1" t="s">
        <v>257</v>
      </c>
      <c r="D191" s="8">
        <v>11</v>
      </c>
      <c r="E191" s="5" t="s">
        <v>84</v>
      </c>
      <c r="F191" s="9">
        <f t="shared" si="4"/>
        <v>1.3749999999999999E-3</v>
      </c>
    </row>
    <row r="192" spans="1:6" x14ac:dyDescent="0.25">
      <c r="A192" s="1" t="s">
        <v>129</v>
      </c>
      <c r="B192" s="1">
        <v>10</v>
      </c>
      <c r="C192" s="1" t="s">
        <v>257</v>
      </c>
      <c r="D192" s="8">
        <v>8</v>
      </c>
      <c r="E192" s="5" t="s">
        <v>84</v>
      </c>
      <c r="F192" s="9">
        <f t="shared" si="4"/>
        <v>8.0000000000000004E-4</v>
      </c>
    </row>
    <row r="193" spans="1:6" x14ac:dyDescent="0.25">
      <c r="A193" s="1" t="s">
        <v>232</v>
      </c>
      <c r="B193" s="1">
        <v>1</v>
      </c>
      <c r="C193" s="1" t="s">
        <v>257</v>
      </c>
      <c r="D193" s="8">
        <v>71</v>
      </c>
      <c r="E193" s="5" t="s">
        <v>84</v>
      </c>
      <c r="F193" s="9">
        <f t="shared" si="4"/>
        <v>7.0999999999999994E-2</v>
      </c>
    </row>
    <row r="194" spans="1:6" x14ac:dyDescent="0.25">
      <c r="A194" s="1" t="s">
        <v>45</v>
      </c>
      <c r="B194" s="1">
        <v>1</v>
      </c>
      <c r="C194" s="1" t="s">
        <v>257</v>
      </c>
      <c r="D194" s="8">
        <v>23</v>
      </c>
      <c r="E194" s="5" t="s">
        <v>84</v>
      </c>
      <c r="F194" s="9">
        <f t="shared" si="4"/>
        <v>2.3E-2</v>
      </c>
    </row>
    <row r="195" spans="1:6" x14ac:dyDescent="0.25">
      <c r="A195" s="1" t="s">
        <v>161</v>
      </c>
      <c r="B195" s="1">
        <v>1</v>
      </c>
      <c r="C195" s="1" t="s">
        <v>257</v>
      </c>
      <c r="D195" s="8">
        <v>59</v>
      </c>
      <c r="E195" s="5" t="s">
        <v>84</v>
      </c>
      <c r="F195" s="9">
        <f t="shared" ref="F195:F244" si="6">IF(OR(AND(E195="גרם",C195="קג"),AND(E195="מל",C195="ליטר")),(D195/B195)/1000,IF(OR(E195="יחידה",AND(E195="גרם",C195="גרם"),AND(E195="מל",C195="מל"),AND(E195="קג",C195="קג"),AND(E195="ליטר",C195="ליטר")),D195/B195,"NA"))</f>
        <v>5.8999999999999997E-2</v>
      </c>
    </row>
    <row r="196" spans="1:6" x14ac:dyDescent="0.25">
      <c r="A196" s="1" t="s">
        <v>90</v>
      </c>
      <c r="B196" s="1">
        <v>1</v>
      </c>
      <c r="C196" s="1" t="s">
        <v>257</v>
      </c>
      <c r="D196" s="8">
        <v>19</v>
      </c>
      <c r="E196" s="5" t="s">
        <v>84</v>
      </c>
      <c r="F196" s="9">
        <f t="shared" si="6"/>
        <v>1.9E-2</v>
      </c>
    </row>
    <row r="197" spans="1:6" x14ac:dyDescent="0.25">
      <c r="A197" s="1" t="s">
        <v>75</v>
      </c>
      <c r="B197" s="1">
        <v>1</v>
      </c>
      <c r="C197" s="1" t="s">
        <v>257</v>
      </c>
      <c r="D197" s="8">
        <v>33</v>
      </c>
      <c r="E197" s="5" t="s">
        <v>84</v>
      </c>
      <c r="F197" s="9">
        <f t="shared" si="6"/>
        <v>3.3000000000000002E-2</v>
      </c>
    </row>
    <row r="198" spans="1:6" x14ac:dyDescent="0.25">
      <c r="A198" s="1" t="s">
        <v>234</v>
      </c>
      <c r="B198" s="1">
        <v>1</v>
      </c>
      <c r="C198" s="1" t="s">
        <v>257</v>
      </c>
      <c r="D198" s="8">
        <v>68</v>
      </c>
      <c r="E198" s="5" t="s">
        <v>84</v>
      </c>
      <c r="F198" s="9">
        <f t="shared" si="6"/>
        <v>6.8000000000000005E-2</v>
      </c>
    </row>
    <row r="199" spans="1:6" hidden="1" x14ac:dyDescent="0.25">
      <c r="A199" s="1" t="s">
        <v>203</v>
      </c>
      <c r="B199" s="1"/>
      <c r="C199" s="1"/>
      <c r="D199" s="8">
        <v>37.549999999999997</v>
      </c>
      <c r="E199" s="5">
        <f t="shared" ref="E199:E215" si="7">C199</f>
        <v>0</v>
      </c>
      <c r="F199" s="5" t="str">
        <f t="shared" si="6"/>
        <v>NA</v>
      </c>
    </row>
    <row r="200" spans="1:6" x14ac:dyDescent="0.25">
      <c r="A200" s="1" t="s">
        <v>246</v>
      </c>
      <c r="B200" s="1">
        <v>1</v>
      </c>
      <c r="C200" s="1" t="s">
        <v>257</v>
      </c>
      <c r="D200" s="8">
        <v>25</v>
      </c>
      <c r="E200" s="5" t="s">
        <v>84</v>
      </c>
      <c r="F200" s="9">
        <f t="shared" si="6"/>
        <v>2.5000000000000001E-2</v>
      </c>
    </row>
    <row r="201" spans="1:6" x14ac:dyDescent="0.25">
      <c r="A201" s="1" t="s">
        <v>197</v>
      </c>
      <c r="B201" s="1">
        <v>1.8</v>
      </c>
      <c r="C201" s="1" t="s">
        <v>257</v>
      </c>
      <c r="D201" s="8">
        <v>37</v>
      </c>
      <c r="E201" s="5" t="s">
        <v>84</v>
      </c>
      <c r="F201" s="9">
        <f t="shared" si="6"/>
        <v>2.0555555555555553E-2</v>
      </c>
    </row>
    <row r="202" spans="1:6" hidden="1" x14ac:dyDescent="0.25">
      <c r="A202" s="1" t="s">
        <v>213</v>
      </c>
      <c r="B202" s="1"/>
      <c r="C202" s="1"/>
      <c r="D202" s="8">
        <v>77.5</v>
      </c>
      <c r="E202" s="5">
        <f t="shared" si="7"/>
        <v>0</v>
      </c>
      <c r="F202" s="5" t="str">
        <f t="shared" si="6"/>
        <v>NA</v>
      </c>
    </row>
    <row r="203" spans="1:6" hidden="1" x14ac:dyDescent="0.25">
      <c r="A203" s="1" t="s">
        <v>207</v>
      </c>
      <c r="B203" s="1"/>
      <c r="C203" s="1"/>
      <c r="D203" s="8">
        <v>83.5</v>
      </c>
      <c r="E203" s="5">
        <f t="shared" si="7"/>
        <v>0</v>
      </c>
      <c r="F203" s="5" t="str">
        <f t="shared" si="6"/>
        <v>NA</v>
      </c>
    </row>
    <row r="204" spans="1:6" x14ac:dyDescent="0.25">
      <c r="A204" s="1" t="s">
        <v>163</v>
      </c>
      <c r="B204" s="1">
        <v>1.6</v>
      </c>
      <c r="C204" s="1" t="s">
        <v>257</v>
      </c>
      <c r="D204" s="8">
        <v>45</v>
      </c>
      <c r="E204" s="5" t="s">
        <v>84</v>
      </c>
      <c r="F204" s="9">
        <f t="shared" si="6"/>
        <v>2.8125000000000001E-2</v>
      </c>
    </row>
    <row r="205" spans="1:6" x14ac:dyDescent="0.25">
      <c r="A205" s="1" t="s">
        <v>162</v>
      </c>
      <c r="B205" s="1">
        <v>1.6</v>
      </c>
      <c r="C205" s="1" t="s">
        <v>257</v>
      </c>
      <c r="D205" s="8">
        <v>45</v>
      </c>
      <c r="E205" s="5" t="s">
        <v>84</v>
      </c>
      <c r="F205" s="9">
        <f t="shared" si="6"/>
        <v>2.8125000000000001E-2</v>
      </c>
    </row>
    <row r="206" spans="1:6" hidden="1" x14ac:dyDescent="0.25">
      <c r="A206" s="1" t="s">
        <v>210</v>
      </c>
      <c r="B206" s="1"/>
      <c r="C206" s="1"/>
      <c r="D206" s="8">
        <v>74</v>
      </c>
      <c r="E206" s="5">
        <f t="shared" si="7"/>
        <v>0</v>
      </c>
      <c r="F206" s="5" t="str">
        <f t="shared" si="6"/>
        <v>NA</v>
      </c>
    </row>
    <row r="207" spans="1:6" hidden="1" x14ac:dyDescent="0.25">
      <c r="A207" s="1" t="s">
        <v>211</v>
      </c>
      <c r="B207" s="1"/>
      <c r="C207" s="1"/>
      <c r="D207" s="8">
        <v>69</v>
      </c>
      <c r="E207" s="5">
        <f t="shared" si="7"/>
        <v>0</v>
      </c>
      <c r="F207" s="5" t="str">
        <f t="shared" si="6"/>
        <v>NA</v>
      </c>
    </row>
    <row r="208" spans="1:6" hidden="1" x14ac:dyDescent="0.25">
      <c r="A208" s="1" t="s">
        <v>212</v>
      </c>
      <c r="B208" s="1"/>
      <c r="C208" s="1"/>
      <c r="D208" s="8">
        <v>69</v>
      </c>
      <c r="E208" s="5">
        <f t="shared" si="7"/>
        <v>0</v>
      </c>
      <c r="F208" s="5" t="str">
        <f t="shared" si="6"/>
        <v>NA</v>
      </c>
    </row>
    <row r="209" spans="1:6" hidden="1" x14ac:dyDescent="0.25">
      <c r="A209" s="1" t="s">
        <v>214</v>
      </c>
      <c r="B209" s="1"/>
      <c r="C209" s="1"/>
      <c r="D209" s="8">
        <v>55.5</v>
      </c>
      <c r="E209" s="5">
        <f t="shared" si="7"/>
        <v>0</v>
      </c>
      <c r="F209" s="5" t="str">
        <f t="shared" si="6"/>
        <v>NA</v>
      </c>
    </row>
    <row r="210" spans="1:6" hidden="1" x14ac:dyDescent="0.25">
      <c r="A210" s="1" t="s">
        <v>215</v>
      </c>
      <c r="B210" s="1"/>
      <c r="C210" s="1"/>
      <c r="D210" s="8">
        <v>73.5</v>
      </c>
      <c r="E210" s="5">
        <f t="shared" si="7"/>
        <v>0</v>
      </c>
      <c r="F210" s="5" t="str">
        <f t="shared" si="6"/>
        <v>NA</v>
      </c>
    </row>
    <row r="211" spans="1:6" x14ac:dyDescent="0.25">
      <c r="A211" s="1" t="s">
        <v>172</v>
      </c>
      <c r="B211" s="1">
        <v>2.5</v>
      </c>
      <c r="C211" s="1" t="s">
        <v>257</v>
      </c>
      <c r="D211" s="8">
        <v>120</v>
      </c>
      <c r="E211" s="5" t="s">
        <v>84</v>
      </c>
      <c r="F211" s="9">
        <f t="shared" si="6"/>
        <v>4.8000000000000001E-2</v>
      </c>
    </row>
    <row r="212" spans="1:6" hidden="1" x14ac:dyDescent="0.25">
      <c r="A212" s="1" t="s">
        <v>217</v>
      </c>
      <c r="B212" s="1"/>
      <c r="C212" s="1"/>
      <c r="D212" s="8">
        <v>23.5</v>
      </c>
      <c r="E212" s="5">
        <f t="shared" si="7"/>
        <v>0</v>
      </c>
      <c r="F212" s="5" t="str">
        <f t="shared" si="6"/>
        <v>NA</v>
      </c>
    </row>
    <row r="213" spans="1:6" hidden="1" x14ac:dyDescent="0.25">
      <c r="A213" s="1" t="s">
        <v>218</v>
      </c>
      <c r="B213" s="1">
        <v>5</v>
      </c>
      <c r="C213" s="1" t="s">
        <v>64</v>
      </c>
      <c r="D213" s="8">
        <v>99.5</v>
      </c>
      <c r="E213" s="5" t="s">
        <v>64</v>
      </c>
      <c r="F213" s="5">
        <f t="shared" si="6"/>
        <v>19.899999999999999</v>
      </c>
    </row>
    <row r="214" spans="1:6" hidden="1" x14ac:dyDescent="0.25">
      <c r="A214" s="1" t="s">
        <v>219</v>
      </c>
      <c r="B214" s="1">
        <v>3</v>
      </c>
      <c r="C214" s="1" t="s">
        <v>64</v>
      </c>
      <c r="D214" s="8">
        <v>21.5</v>
      </c>
      <c r="E214" s="5" t="s">
        <v>64</v>
      </c>
      <c r="F214" s="5">
        <f t="shared" si="6"/>
        <v>7.166666666666667</v>
      </c>
    </row>
    <row r="215" spans="1:6" hidden="1" x14ac:dyDescent="0.25">
      <c r="A215" s="1" t="s">
        <v>220</v>
      </c>
      <c r="B215" s="1"/>
      <c r="C215" s="1"/>
      <c r="D215" s="8">
        <v>39</v>
      </c>
      <c r="E215" s="5">
        <f t="shared" si="7"/>
        <v>0</v>
      </c>
      <c r="F215" s="5" t="str">
        <f t="shared" si="6"/>
        <v>NA</v>
      </c>
    </row>
    <row r="216" spans="1:6" hidden="1" x14ac:dyDescent="0.25">
      <c r="A216" s="1" t="s">
        <v>221</v>
      </c>
      <c r="B216" s="1">
        <v>1</v>
      </c>
      <c r="C216" s="1" t="s">
        <v>64</v>
      </c>
      <c r="D216" s="8">
        <v>7.76</v>
      </c>
      <c r="E216" s="5" t="s">
        <v>64</v>
      </c>
      <c r="F216" s="5">
        <f t="shared" si="6"/>
        <v>7.76</v>
      </c>
    </row>
    <row r="217" spans="1:6" hidden="1" x14ac:dyDescent="0.25">
      <c r="A217" s="1" t="s">
        <v>222</v>
      </c>
      <c r="B217" s="1">
        <v>1</v>
      </c>
      <c r="C217" s="1" t="s">
        <v>64</v>
      </c>
      <c r="D217" s="8">
        <v>11</v>
      </c>
      <c r="E217" s="5" t="s">
        <v>64</v>
      </c>
      <c r="F217" s="5">
        <f t="shared" si="6"/>
        <v>11</v>
      </c>
    </row>
    <row r="218" spans="1:6" hidden="1" x14ac:dyDescent="0.25">
      <c r="A218" s="1" t="s">
        <v>223</v>
      </c>
      <c r="B218" s="1">
        <v>1</v>
      </c>
      <c r="C218" s="1" t="s">
        <v>64</v>
      </c>
      <c r="D218" s="8">
        <v>11</v>
      </c>
      <c r="E218" s="5" t="s">
        <v>64</v>
      </c>
      <c r="F218" s="5">
        <f t="shared" si="6"/>
        <v>11</v>
      </c>
    </row>
    <row r="219" spans="1:6" hidden="1" x14ac:dyDescent="0.25">
      <c r="A219" s="1" t="s">
        <v>224</v>
      </c>
      <c r="B219" s="1">
        <v>1</v>
      </c>
      <c r="C219" s="1" t="s">
        <v>64</v>
      </c>
      <c r="D219" s="8">
        <v>12.5</v>
      </c>
      <c r="E219" s="5" t="s">
        <v>64</v>
      </c>
      <c r="F219" s="5">
        <f t="shared" si="6"/>
        <v>12.5</v>
      </c>
    </row>
    <row r="220" spans="1:6" hidden="1" x14ac:dyDescent="0.25">
      <c r="A220" s="1" t="s">
        <v>225</v>
      </c>
      <c r="B220" s="1">
        <v>1</v>
      </c>
      <c r="C220" s="1" t="s">
        <v>64</v>
      </c>
      <c r="D220" s="8">
        <v>4.5</v>
      </c>
      <c r="E220" s="5" t="s">
        <v>64</v>
      </c>
      <c r="F220" s="5">
        <f t="shared" si="6"/>
        <v>4.5</v>
      </c>
    </row>
    <row r="221" spans="1:6" hidden="1" x14ac:dyDescent="0.25">
      <c r="A221" s="1" t="s">
        <v>226</v>
      </c>
      <c r="B221" s="1">
        <v>1</v>
      </c>
      <c r="C221" s="1" t="s">
        <v>64</v>
      </c>
      <c r="D221" s="8">
        <v>4.0999999999999996</v>
      </c>
      <c r="E221" s="5" t="s">
        <v>64</v>
      </c>
      <c r="F221" s="5">
        <f t="shared" si="6"/>
        <v>4.0999999999999996</v>
      </c>
    </row>
    <row r="222" spans="1:6" x14ac:dyDescent="0.25">
      <c r="A222" s="1" t="s">
        <v>91</v>
      </c>
      <c r="B222" s="1">
        <v>1</v>
      </c>
      <c r="C222" s="1" t="s">
        <v>257</v>
      </c>
      <c r="D222" s="8">
        <v>13</v>
      </c>
      <c r="E222" s="5" t="s">
        <v>84</v>
      </c>
      <c r="F222" s="9">
        <f t="shared" si="6"/>
        <v>1.2999999999999999E-2</v>
      </c>
    </row>
    <row r="223" spans="1:6" x14ac:dyDescent="0.25">
      <c r="A223" s="1" t="s">
        <v>30</v>
      </c>
      <c r="B223" s="1">
        <v>1</v>
      </c>
      <c r="C223" s="1" t="s">
        <v>257</v>
      </c>
      <c r="D223" s="8">
        <v>22</v>
      </c>
      <c r="E223" s="5" t="s">
        <v>84</v>
      </c>
      <c r="F223" s="9">
        <f t="shared" si="6"/>
        <v>2.1999999999999999E-2</v>
      </c>
    </row>
    <row r="224" spans="1:6" x14ac:dyDescent="0.25">
      <c r="A224" s="1" t="s">
        <v>21</v>
      </c>
      <c r="B224" s="1">
        <v>1</v>
      </c>
      <c r="C224" s="1" t="s">
        <v>257</v>
      </c>
      <c r="D224" s="8">
        <v>18</v>
      </c>
      <c r="E224" s="5" t="s">
        <v>84</v>
      </c>
      <c r="F224" s="9">
        <f t="shared" si="6"/>
        <v>1.7999999999999999E-2</v>
      </c>
    </row>
    <row r="225" spans="1:6" x14ac:dyDescent="0.25">
      <c r="A225" s="1" t="s">
        <v>40</v>
      </c>
      <c r="B225" s="1">
        <v>1</v>
      </c>
      <c r="C225" s="1" t="s">
        <v>257</v>
      </c>
      <c r="D225" s="8">
        <v>20</v>
      </c>
      <c r="E225" s="5" t="s">
        <v>84</v>
      </c>
      <c r="F225" s="9">
        <f t="shared" si="6"/>
        <v>0.02</v>
      </c>
    </row>
    <row r="226" spans="1:6" x14ac:dyDescent="0.25">
      <c r="A226" s="1" t="s">
        <v>56</v>
      </c>
      <c r="B226" s="1">
        <v>1</v>
      </c>
      <c r="C226" s="1" t="s">
        <v>257</v>
      </c>
      <c r="D226" s="8">
        <v>16</v>
      </c>
      <c r="E226" s="5" t="s">
        <v>84</v>
      </c>
      <c r="F226" s="9">
        <f t="shared" si="6"/>
        <v>1.6E-2</v>
      </c>
    </row>
    <row r="227" spans="1:6" x14ac:dyDescent="0.25">
      <c r="A227" s="1" t="s">
        <v>54</v>
      </c>
      <c r="B227" s="1">
        <v>2</v>
      </c>
      <c r="C227" s="1" t="s">
        <v>257</v>
      </c>
      <c r="D227" s="8">
        <v>11.5</v>
      </c>
      <c r="E227" s="5" t="s">
        <v>84</v>
      </c>
      <c r="F227" s="9">
        <f t="shared" si="6"/>
        <v>5.7499999999999999E-3</v>
      </c>
    </row>
    <row r="228" spans="1:6" x14ac:dyDescent="0.25">
      <c r="A228" s="1" t="s">
        <v>55</v>
      </c>
      <c r="B228" s="1">
        <v>1</v>
      </c>
      <c r="C228" s="1" t="s">
        <v>257</v>
      </c>
      <c r="D228" s="8">
        <v>17</v>
      </c>
      <c r="E228" s="5" t="s">
        <v>84</v>
      </c>
      <c r="F228" s="9">
        <f t="shared" si="6"/>
        <v>1.7000000000000001E-2</v>
      </c>
    </row>
    <row r="229" spans="1:6" x14ac:dyDescent="0.25">
      <c r="A229" s="1" t="s">
        <v>135</v>
      </c>
      <c r="B229" s="1">
        <v>2.5</v>
      </c>
      <c r="C229" s="1" t="s">
        <v>257</v>
      </c>
      <c r="D229" s="8">
        <v>125</v>
      </c>
      <c r="E229" s="5" t="s">
        <v>84</v>
      </c>
      <c r="F229" s="9">
        <f t="shared" si="6"/>
        <v>0.05</v>
      </c>
    </row>
    <row r="230" spans="1:6" x14ac:dyDescent="0.25">
      <c r="A230" s="1" t="s">
        <v>160</v>
      </c>
      <c r="B230" s="1">
        <v>5</v>
      </c>
      <c r="C230" s="1" t="s">
        <v>257</v>
      </c>
      <c r="D230" s="8">
        <v>250</v>
      </c>
      <c r="E230" s="5" t="s">
        <v>84</v>
      </c>
      <c r="F230" s="9">
        <f t="shared" si="6"/>
        <v>0.05</v>
      </c>
    </row>
    <row r="231" spans="1:6" x14ac:dyDescent="0.25">
      <c r="A231" s="1" t="s">
        <v>132</v>
      </c>
      <c r="B231" s="1">
        <v>10</v>
      </c>
      <c r="C231" s="1" t="s">
        <v>257</v>
      </c>
      <c r="D231" s="8">
        <v>230</v>
      </c>
      <c r="E231" s="5" t="s">
        <v>84</v>
      </c>
      <c r="F231" s="9">
        <f t="shared" si="6"/>
        <v>2.3E-2</v>
      </c>
    </row>
    <row r="232" spans="1:6" x14ac:dyDescent="0.25">
      <c r="A232" s="1" t="s">
        <v>131</v>
      </c>
      <c r="B232" s="1">
        <v>10</v>
      </c>
      <c r="C232" s="1" t="s">
        <v>257</v>
      </c>
      <c r="D232" s="8">
        <v>230</v>
      </c>
      <c r="E232" s="5" t="s">
        <v>84</v>
      </c>
      <c r="F232" s="9">
        <f t="shared" si="6"/>
        <v>2.3E-2</v>
      </c>
    </row>
    <row r="233" spans="1:6" x14ac:dyDescent="0.25">
      <c r="A233" s="1" t="s">
        <v>130</v>
      </c>
      <c r="B233" s="1">
        <v>10</v>
      </c>
      <c r="C233" s="1" t="s">
        <v>257</v>
      </c>
      <c r="D233" s="8">
        <v>210</v>
      </c>
      <c r="E233" s="5" t="s">
        <v>84</v>
      </c>
      <c r="F233" s="9">
        <f t="shared" si="6"/>
        <v>2.1000000000000001E-2</v>
      </c>
    </row>
    <row r="234" spans="1:6" x14ac:dyDescent="0.25">
      <c r="A234" s="1" t="s">
        <v>134</v>
      </c>
      <c r="B234" s="1">
        <v>2.5</v>
      </c>
      <c r="C234" s="1" t="s">
        <v>257</v>
      </c>
      <c r="D234" s="8">
        <v>90</v>
      </c>
      <c r="E234" s="5" t="s">
        <v>84</v>
      </c>
      <c r="F234" s="9">
        <f t="shared" si="6"/>
        <v>3.5999999999999997E-2</v>
      </c>
    </row>
    <row r="235" spans="1:6" x14ac:dyDescent="0.25">
      <c r="A235" s="1" t="s">
        <v>136</v>
      </c>
      <c r="B235" s="1">
        <v>2</v>
      </c>
      <c r="C235" s="1" t="s">
        <v>257</v>
      </c>
      <c r="D235" s="8">
        <v>90</v>
      </c>
      <c r="E235" s="5" t="s">
        <v>84</v>
      </c>
      <c r="F235" s="9">
        <f t="shared" si="6"/>
        <v>4.4999999999999998E-2</v>
      </c>
    </row>
    <row r="236" spans="1:6" x14ac:dyDescent="0.25">
      <c r="A236" s="1" t="s">
        <v>188</v>
      </c>
      <c r="B236" s="1">
        <v>10</v>
      </c>
      <c r="C236" s="1" t="s">
        <v>257</v>
      </c>
      <c r="D236" s="8">
        <v>230</v>
      </c>
      <c r="E236" s="5" t="s">
        <v>84</v>
      </c>
      <c r="F236" s="9">
        <f t="shared" si="6"/>
        <v>2.3E-2</v>
      </c>
    </row>
    <row r="237" spans="1:6" x14ac:dyDescent="0.25">
      <c r="A237" s="1" t="s">
        <v>133</v>
      </c>
      <c r="B237" s="1">
        <v>2.5</v>
      </c>
      <c r="C237" s="1" t="s">
        <v>257</v>
      </c>
      <c r="D237" s="8">
        <v>125</v>
      </c>
      <c r="E237" s="5" t="s">
        <v>84</v>
      </c>
      <c r="F237" s="9">
        <f t="shared" si="6"/>
        <v>0.05</v>
      </c>
    </row>
    <row r="238" spans="1:6" x14ac:dyDescent="0.25">
      <c r="A238" s="1" t="s">
        <v>137</v>
      </c>
      <c r="B238" s="1">
        <v>2</v>
      </c>
      <c r="C238" s="1" t="s">
        <v>257</v>
      </c>
      <c r="D238" s="8">
        <v>55</v>
      </c>
      <c r="E238" s="5" t="s">
        <v>84</v>
      </c>
      <c r="F238" s="9">
        <f t="shared" si="6"/>
        <v>2.75E-2</v>
      </c>
    </row>
    <row r="239" spans="1:6" x14ac:dyDescent="0.25">
      <c r="A239" s="1" t="s">
        <v>15</v>
      </c>
      <c r="B239" s="1">
        <v>2.5</v>
      </c>
      <c r="C239" s="1" t="s">
        <v>257</v>
      </c>
      <c r="D239" s="8">
        <v>36</v>
      </c>
      <c r="E239" s="5" t="s">
        <v>84</v>
      </c>
      <c r="F239" s="9">
        <f t="shared" si="6"/>
        <v>1.44E-2</v>
      </c>
    </row>
    <row r="240" spans="1:6" x14ac:dyDescent="0.25">
      <c r="A240" s="1" t="s">
        <v>116</v>
      </c>
      <c r="B240" s="1">
        <v>16</v>
      </c>
      <c r="C240" s="1" t="s">
        <v>257</v>
      </c>
      <c r="D240" s="8">
        <v>158</v>
      </c>
      <c r="E240" s="5" t="s">
        <v>84</v>
      </c>
      <c r="F240" s="9">
        <f t="shared" si="6"/>
        <v>9.8750000000000001E-3</v>
      </c>
    </row>
    <row r="241" spans="1:6" x14ac:dyDescent="0.25">
      <c r="A241" s="1" t="s">
        <v>78</v>
      </c>
      <c r="B241" s="1">
        <v>1</v>
      </c>
      <c r="C241" s="1" t="s">
        <v>257</v>
      </c>
      <c r="D241" s="8">
        <v>42</v>
      </c>
      <c r="E241" s="5" t="s">
        <v>84</v>
      </c>
      <c r="F241" s="9">
        <f t="shared" si="6"/>
        <v>4.2000000000000003E-2</v>
      </c>
    </row>
    <row r="242" spans="1:6" x14ac:dyDescent="0.25">
      <c r="A242" s="1" t="s">
        <v>77</v>
      </c>
      <c r="B242" s="1">
        <v>1</v>
      </c>
      <c r="C242" s="1" t="s">
        <v>257</v>
      </c>
      <c r="D242" s="8">
        <v>45</v>
      </c>
      <c r="E242" s="5" t="s">
        <v>84</v>
      </c>
      <c r="F242" s="9">
        <f t="shared" si="6"/>
        <v>4.4999999999999998E-2</v>
      </c>
    </row>
    <row r="243" spans="1:6" x14ac:dyDescent="0.25">
      <c r="A243" s="1" t="s">
        <v>76</v>
      </c>
      <c r="B243" s="1">
        <v>1</v>
      </c>
      <c r="C243" s="1" t="s">
        <v>257</v>
      </c>
      <c r="D243" s="8">
        <v>46</v>
      </c>
      <c r="E243" s="5" t="s">
        <v>84</v>
      </c>
      <c r="F243" s="9">
        <f t="shared" si="6"/>
        <v>4.5999999999999999E-2</v>
      </c>
    </row>
    <row r="244" spans="1:6" x14ac:dyDescent="0.25">
      <c r="A244" s="1" t="s">
        <v>231</v>
      </c>
      <c r="B244" s="1">
        <v>1</v>
      </c>
      <c r="C244" s="1" t="s">
        <v>257</v>
      </c>
      <c r="D244" s="8">
        <v>75</v>
      </c>
      <c r="E244" s="5" t="s">
        <v>84</v>
      </c>
      <c r="F244" s="9">
        <f t="shared" si="6"/>
        <v>7.4999999999999997E-2</v>
      </c>
    </row>
    <row r="245" spans="1:6" x14ac:dyDescent="0.25">
      <c r="A245" s="2"/>
    </row>
  </sheetData>
  <autoFilter ref="A1:D244" xr:uid="{A0D3A2BF-5CEA-084B-8F5E-824A55C4611C}">
    <filterColumn colId="2">
      <filters>
        <filter val="קג"/>
      </filters>
    </filterColumn>
    <sortState xmlns:xlrd2="http://schemas.microsoft.com/office/spreadsheetml/2017/richdata2" ref="A2:D244">
      <sortCondition ref="A1:A244"/>
    </sortState>
  </autoFilter>
  <dataValidations count="2">
    <dataValidation type="list" allowBlank="1" showInputMessage="1" showErrorMessage="1" sqref="D202:D211" xr:uid="{97FBD53E-3669-B340-AC37-FAE42835BC01}">
      <formula1>"מ""ל,ק""ג, יחידה, ליטר, גרם"</formula1>
    </dataValidation>
    <dataValidation type="list" allowBlank="1" showInputMessage="1" showErrorMessage="1" sqref="C2:C1048576 E2:E1048576" xr:uid="{7F79B831-1B64-4752-BC96-3FB1FF0193F1}">
      <formula1>"מל,קג, יחידה, ליטר, גרם"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EEC4B-ABBC-FC44-B810-2EF636D48053}">
  <sheetPr codeName="Sheet3"/>
  <dimension ref="A2:K500"/>
  <sheetViews>
    <sheetView rightToLeft="1" zoomScale="140" zoomScaleNormal="140" workbookViewId="0">
      <selection sqref="A1:XFD1048576"/>
    </sheetView>
  </sheetViews>
  <sheetFormatPr defaultColWidth="11" defaultRowHeight="15.75" x14ac:dyDescent="0.25"/>
  <cols>
    <col min="1" max="1" width="27.125" bestFit="1" customWidth="1"/>
    <col min="4" max="4" width="13.125" customWidth="1"/>
    <col min="7" max="7" width="18.125" customWidth="1"/>
  </cols>
  <sheetData>
    <row r="2" spans="1:11" ht="16.5" thickBot="1" x14ac:dyDescent="0.3"/>
    <row r="3" spans="1:11" ht="31.5" x14ac:dyDescent="0.25">
      <c r="A3" s="33" t="s">
        <v>250</v>
      </c>
      <c r="B3" s="34"/>
      <c r="C3" s="10" t="s">
        <v>264</v>
      </c>
      <c r="D3" s="11" t="s">
        <v>267</v>
      </c>
      <c r="E3" s="14" t="s">
        <v>268</v>
      </c>
      <c r="F3" s="3"/>
      <c r="G3" s="5"/>
      <c r="H3" s="36" t="s">
        <v>252</v>
      </c>
      <c r="I3" s="36"/>
      <c r="J3" s="35" t="s">
        <v>259</v>
      </c>
      <c r="K3" s="35"/>
    </row>
    <row r="4" spans="1:11" ht="16.5" thickBot="1" x14ac:dyDescent="0.3">
      <c r="A4" s="37"/>
      <c r="B4" s="38"/>
      <c r="C4" s="15">
        <f>SUM(D12:D492)</f>
        <v>0</v>
      </c>
      <c r="D4" s="15">
        <f>(C4+D7)*3</f>
        <v>0</v>
      </c>
      <c r="E4" s="16">
        <v>0</v>
      </c>
      <c r="G4" s="32" t="s">
        <v>267</v>
      </c>
      <c r="H4" s="30">
        <f>D4-C4-D7</f>
        <v>0</v>
      </c>
      <c r="I4" s="30"/>
      <c r="J4" s="24" t="str">
        <f>IFERROR((H4/D4),"")</f>
        <v/>
      </c>
      <c r="K4" s="24"/>
    </row>
    <row r="5" spans="1:11" ht="16.5" thickBot="1" x14ac:dyDescent="0.3">
      <c r="G5" s="32"/>
      <c r="H5" s="30"/>
      <c r="I5" s="30"/>
      <c r="J5" s="24"/>
      <c r="K5" s="24"/>
    </row>
    <row r="6" spans="1:11" x14ac:dyDescent="0.25">
      <c r="A6" s="19" t="s">
        <v>261</v>
      </c>
      <c r="B6" s="20"/>
      <c r="C6" s="20" t="s">
        <v>265</v>
      </c>
      <c r="D6" s="21" t="s">
        <v>263</v>
      </c>
      <c r="G6" s="32" t="s">
        <v>268</v>
      </c>
      <c r="H6" s="30">
        <f>E4-C4-D7</f>
        <v>0</v>
      </c>
      <c r="I6" s="30"/>
      <c r="J6" s="24" t="str">
        <f>IFERROR((H6/E4),"")</f>
        <v/>
      </c>
      <c r="K6" s="24"/>
    </row>
    <row r="7" spans="1:11" x14ac:dyDescent="0.25">
      <c r="A7" s="22" t="s">
        <v>254</v>
      </c>
      <c r="B7" s="1"/>
      <c r="C7" s="18">
        <f>C4</f>
        <v>0</v>
      </c>
      <c r="D7" s="23">
        <f>SUM(C7:C9)</f>
        <v>0</v>
      </c>
      <c r="G7" s="32"/>
      <c r="H7" s="30"/>
      <c r="I7" s="30"/>
      <c r="J7" s="24"/>
      <c r="K7" s="24"/>
    </row>
    <row r="8" spans="1:11" x14ac:dyDescent="0.25">
      <c r="A8" s="22" t="s">
        <v>260</v>
      </c>
      <c r="B8" s="1"/>
      <c r="C8" s="18">
        <v>0</v>
      </c>
      <c r="D8" s="23"/>
    </row>
    <row r="9" spans="1:11" ht="16.5" thickBot="1" x14ac:dyDescent="0.3">
      <c r="A9" s="12" t="s">
        <v>262</v>
      </c>
      <c r="B9" s="13"/>
      <c r="C9" s="15">
        <v>0</v>
      </c>
      <c r="D9" s="16"/>
    </row>
    <row r="10" spans="1:11" ht="16.5" thickBot="1" x14ac:dyDescent="0.3"/>
    <row r="11" spans="1:11" x14ac:dyDescent="0.25">
      <c r="A11" s="4" t="s">
        <v>0</v>
      </c>
      <c r="B11" s="4" t="s">
        <v>253</v>
      </c>
      <c r="C11" s="4" t="s">
        <v>19</v>
      </c>
      <c r="D11" s="4" t="s">
        <v>251</v>
      </c>
      <c r="G11" s="25" t="s">
        <v>269</v>
      </c>
      <c r="H11" s="29">
        <v>0</v>
      </c>
      <c r="I11" s="29"/>
    </row>
    <row r="12" spans="1:11" x14ac:dyDescent="0.25">
      <c r="A12" s="1"/>
      <c r="B12" s="1"/>
      <c r="C12" s="1" t="str">
        <f>IFERROR(VLOOKUP(A12,מחירון!A:F,5,),"")</f>
        <v/>
      </c>
      <c r="D12" s="18" t="str">
        <f>IFERROR(VLOOKUP(A12,מחירון!A:G,6,)*B12,"")</f>
        <v/>
      </c>
      <c r="G12" s="26"/>
      <c r="H12" s="29"/>
      <c r="I12" s="29"/>
    </row>
    <row r="13" spans="1:11" x14ac:dyDescent="0.25">
      <c r="A13" s="1"/>
      <c r="B13" s="1"/>
      <c r="C13" s="1" t="str">
        <f>IFERROR(VLOOKUP(A13,מחירון!A:F,5,),"")</f>
        <v/>
      </c>
      <c r="D13" s="18" t="str">
        <f>IFERROR(VLOOKUP(A13,מחירון!A:G,6,)*B13,"")</f>
        <v/>
      </c>
      <c r="G13" s="27" t="s">
        <v>270</v>
      </c>
      <c r="H13" s="30" t="str">
        <f>IFERROR(E4/H11,"")</f>
        <v/>
      </c>
      <c r="I13" s="30"/>
    </row>
    <row r="14" spans="1:11" x14ac:dyDescent="0.25">
      <c r="A14" s="1"/>
      <c r="B14" s="1"/>
      <c r="C14" s="1" t="str">
        <f>IFERROR(VLOOKUP(A14,מחירון!A:F,5,),"")</f>
        <v/>
      </c>
      <c r="D14" s="18" t="str">
        <f>IFERROR(VLOOKUP(A14,מחירון!A:G,6,)*B14,"")</f>
        <v/>
      </c>
      <c r="G14" s="27"/>
      <c r="H14" s="30"/>
      <c r="I14" s="30"/>
    </row>
    <row r="15" spans="1:11" x14ac:dyDescent="0.25">
      <c r="A15" s="1"/>
      <c r="B15" s="1"/>
      <c r="C15" s="1" t="str">
        <f>IFERROR(VLOOKUP(A15,מחירון!A:F,5,),"")</f>
        <v/>
      </c>
      <c r="D15" s="18" t="str">
        <f>IFERROR(VLOOKUP(A15,מחירון!A:G,6,)*B15,"")</f>
        <v/>
      </c>
      <c r="G15" s="27" t="s">
        <v>271</v>
      </c>
      <c r="H15" s="31" t="str">
        <f>IFERROR((E4/H11)*1.17,"")</f>
        <v/>
      </c>
      <c r="I15" s="31"/>
    </row>
    <row r="16" spans="1:11" ht="16.5" thickBot="1" x14ac:dyDescent="0.3">
      <c r="A16" s="1"/>
      <c r="B16" s="1"/>
      <c r="C16" s="1" t="str">
        <f>IFERROR(VLOOKUP(A16,מחירון!A:F,5,),"")</f>
        <v/>
      </c>
      <c r="D16" s="18" t="str">
        <f>IFERROR(VLOOKUP(A16,מחירון!A:G,6,)*B16,"")</f>
        <v/>
      </c>
      <c r="G16" s="28"/>
      <c r="H16" s="31"/>
      <c r="I16" s="31"/>
    </row>
    <row r="17" spans="1:4" x14ac:dyDescent="0.25">
      <c r="A17" s="1"/>
      <c r="B17" s="1"/>
      <c r="C17" s="1" t="str">
        <f>IFERROR(VLOOKUP(A17,מחירון!A:F,5,),"")</f>
        <v/>
      </c>
      <c r="D17" s="18" t="str">
        <f>IFERROR(VLOOKUP(A17,מחירון!A:G,6,)*B17,"")</f>
        <v/>
      </c>
    </row>
    <row r="18" spans="1:4" x14ac:dyDescent="0.25">
      <c r="A18" s="1"/>
      <c r="B18" s="1"/>
      <c r="C18" s="1" t="str">
        <f>IFERROR(VLOOKUP(A18,מחירון!A:F,5,),"")</f>
        <v/>
      </c>
      <c r="D18" s="18" t="str">
        <f>IFERROR(VLOOKUP(A18,מחירון!A:G,6,)*B18,"")</f>
        <v/>
      </c>
    </row>
    <row r="19" spans="1:4" x14ac:dyDescent="0.25">
      <c r="A19" s="1"/>
      <c r="B19" s="1"/>
      <c r="C19" s="1" t="str">
        <f>IFERROR(VLOOKUP(A19,מחירון!A:F,5,),"")</f>
        <v/>
      </c>
      <c r="D19" s="18" t="str">
        <f>IFERROR(VLOOKUP(A19,מחירון!A:G,6,)*B19,"")</f>
        <v/>
      </c>
    </row>
    <row r="20" spans="1:4" x14ac:dyDescent="0.25">
      <c r="A20" s="1"/>
      <c r="B20" s="1"/>
      <c r="C20" s="1" t="str">
        <f>IFERROR(VLOOKUP(A20,מחירון!A:F,5,),"")</f>
        <v/>
      </c>
      <c r="D20" s="18" t="str">
        <f>IFERROR(VLOOKUP(A20,מחירון!A:G,6,)*B20,"")</f>
        <v/>
      </c>
    </row>
    <row r="21" spans="1:4" x14ac:dyDescent="0.25">
      <c r="A21" s="1"/>
      <c r="B21" s="1"/>
      <c r="C21" s="1" t="str">
        <f>IFERROR(VLOOKUP(A21,מחירון!A:F,5,),"")</f>
        <v/>
      </c>
      <c r="D21" s="18" t="str">
        <f>IFERROR(VLOOKUP(A21,מחירון!A:G,6,)*B21,"")</f>
        <v/>
      </c>
    </row>
    <row r="22" spans="1:4" x14ac:dyDescent="0.25">
      <c r="A22" s="1"/>
      <c r="B22" s="1"/>
      <c r="C22" s="1" t="str">
        <f>IFERROR(VLOOKUP(A22,מחירון!A:F,5,),"")</f>
        <v/>
      </c>
      <c r="D22" s="18" t="str">
        <f>IFERROR(VLOOKUP(A22,מחירון!A:G,6,)*B22,"")</f>
        <v/>
      </c>
    </row>
    <row r="23" spans="1:4" x14ac:dyDescent="0.25">
      <c r="A23" s="1"/>
      <c r="B23" s="1"/>
      <c r="C23" s="1" t="str">
        <f>IFERROR(VLOOKUP(A23,מחירון!A:F,5,),"")</f>
        <v/>
      </c>
      <c r="D23" s="18" t="str">
        <f>IFERROR(VLOOKUP(A23,מחירון!A:G,6,)*B23,"")</f>
        <v/>
      </c>
    </row>
    <row r="24" spans="1:4" x14ac:dyDescent="0.25">
      <c r="A24" s="1"/>
      <c r="B24" s="1"/>
      <c r="C24" s="1" t="str">
        <f>IFERROR(VLOOKUP(A24,מחירון!A:F,5,),"")</f>
        <v/>
      </c>
      <c r="D24" s="18" t="str">
        <f>IFERROR(VLOOKUP(A24,מחירון!A:G,6,)*B24,"")</f>
        <v/>
      </c>
    </row>
    <row r="25" spans="1:4" x14ac:dyDescent="0.25">
      <c r="A25" s="1"/>
      <c r="B25" s="1"/>
      <c r="C25" s="1" t="str">
        <f>IFERROR(VLOOKUP(A25,מחירון!A:F,5,),"")</f>
        <v/>
      </c>
      <c r="D25" s="18" t="str">
        <f>IFERROR(VLOOKUP(A25,מחירון!A:G,6,)*B25,"")</f>
        <v/>
      </c>
    </row>
    <row r="26" spans="1:4" x14ac:dyDescent="0.25">
      <c r="A26" s="1"/>
      <c r="B26" s="1"/>
      <c r="C26" s="1" t="str">
        <f>IFERROR(VLOOKUP(A26,מחירון!A:F,5,),"")</f>
        <v/>
      </c>
      <c r="D26" s="18" t="str">
        <f>IFERROR(VLOOKUP(A26,מחירון!A:G,6,)*B26,"")</f>
        <v/>
      </c>
    </row>
    <row r="27" spans="1:4" x14ac:dyDescent="0.25">
      <c r="A27" s="1"/>
      <c r="B27" s="1"/>
      <c r="C27" s="1" t="str">
        <f>IFERROR(VLOOKUP(A27,מחירון!A:F,5,),"")</f>
        <v/>
      </c>
      <c r="D27" s="18" t="str">
        <f>IFERROR(VLOOKUP(A27,מחירון!A:G,6,)*B27,"")</f>
        <v/>
      </c>
    </row>
    <row r="28" spans="1:4" x14ac:dyDescent="0.25">
      <c r="A28" s="1"/>
      <c r="B28" s="1"/>
      <c r="C28" s="1" t="str">
        <f>IFERROR(VLOOKUP(A28,מחירון!A:F,5,),"")</f>
        <v/>
      </c>
      <c r="D28" s="18" t="str">
        <f>IFERROR(VLOOKUP(A28,מחירון!A:G,6,)*B28,"")</f>
        <v/>
      </c>
    </row>
    <row r="29" spans="1:4" x14ac:dyDescent="0.25">
      <c r="A29" s="1"/>
      <c r="B29" s="1"/>
      <c r="C29" s="1" t="str">
        <f>IFERROR(VLOOKUP(A29,מחירון!A:F,5,),"")</f>
        <v/>
      </c>
      <c r="D29" s="18" t="str">
        <f>IFERROR(VLOOKUP(A29,מחירון!A:G,6,)*B29,"")</f>
        <v/>
      </c>
    </row>
    <row r="30" spans="1:4" x14ac:dyDescent="0.25">
      <c r="A30" s="1"/>
      <c r="B30" s="1"/>
      <c r="C30" s="1" t="str">
        <f>IFERROR(VLOOKUP(A30,מחירון!A:F,5,),"")</f>
        <v/>
      </c>
      <c r="D30" s="18" t="str">
        <f>IFERROR(VLOOKUP(A30,מחירון!A:G,6,)*B30,"")</f>
        <v/>
      </c>
    </row>
    <row r="31" spans="1:4" x14ac:dyDescent="0.25">
      <c r="A31" s="1"/>
      <c r="B31" s="1"/>
      <c r="C31" s="1" t="str">
        <f>IFERROR(VLOOKUP(A31,מחירון!A:F,5,),"")</f>
        <v/>
      </c>
      <c r="D31" s="18" t="str">
        <f>IFERROR(VLOOKUP(A31,מחירון!A:G,6,)*B31,"")</f>
        <v/>
      </c>
    </row>
    <row r="32" spans="1:4" x14ac:dyDescent="0.25">
      <c r="A32" s="1"/>
      <c r="B32" s="1"/>
      <c r="C32" s="1" t="str">
        <f>IFERROR(VLOOKUP(A32,מחירון!A:F,5,),"")</f>
        <v/>
      </c>
      <c r="D32" s="18" t="str">
        <f>IFERROR(VLOOKUP(A32,מחירון!A:G,6,)*B32,"")</f>
        <v/>
      </c>
    </row>
    <row r="33" spans="1:4" x14ac:dyDescent="0.25">
      <c r="A33" s="1"/>
      <c r="B33" s="1"/>
      <c r="C33" s="1" t="str">
        <f>IFERROR(VLOOKUP(A33,מחירון!A:F,5,),"")</f>
        <v/>
      </c>
      <c r="D33" s="18" t="str">
        <f>IFERROR(VLOOKUP(A33,מחירון!A:G,6,)*B33,"")</f>
        <v/>
      </c>
    </row>
    <row r="34" spans="1:4" x14ac:dyDescent="0.25">
      <c r="A34" s="1"/>
      <c r="B34" s="1"/>
      <c r="C34" s="1" t="str">
        <f>IFERROR(VLOOKUP(A34,מחירון!A:F,5,),"")</f>
        <v/>
      </c>
      <c r="D34" s="18" t="str">
        <f>IFERROR(VLOOKUP(A34,מחירון!A:G,6,)*B34,"")</f>
        <v/>
      </c>
    </row>
    <row r="35" spans="1:4" x14ac:dyDescent="0.25">
      <c r="A35" s="1"/>
      <c r="B35" s="1"/>
      <c r="C35" s="1" t="str">
        <f>IFERROR(VLOOKUP(A35,מחירון!A:F,5,),"")</f>
        <v/>
      </c>
      <c r="D35" s="18" t="str">
        <f>IFERROR(VLOOKUP(A35,מחירון!A:G,6,)*B35,"")</f>
        <v/>
      </c>
    </row>
    <row r="36" spans="1:4" x14ac:dyDescent="0.25">
      <c r="A36" s="1"/>
      <c r="B36" s="1"/>
      <c r="C36" s="1" t="str">
        <f>IFERROR(VLOOKUP(A36,מחירון!A:F,5,),"")</f>
        <v/>
      </c>
      <c r="D36" s="18" t="str">
        <f>IFERROR(VLOOKUP(A36,מחירון!A:G,6,)*B36,"")</f>
        <v/>
      </c>
    </row>
    <row r="37" spans="1:4" x14ac:dyDescent="0.25">
      <c r="A37" s="1"/>
      <c r="B37" s="1"/>
      <c r="C37" s="1" t="str">
        <f>IFERROR(VLOOKUP(A37,מחירון!A:F,5,),"")</f>
        <v/>
      </c>
      <c r="D37" s="18" t="str">
        <f>IFERROR(VLOOKUP(A37,מחירון!A:G,6,)*B37,"")</f>
        <v/>
      </c>
    </row>
    <row r="38" spans="1:4" x14ac:dyDescent="0.25">
      <c r="A38" s="1"/>
      <c r="B38" s="1"/>
      <c r="C38" s="1" t="str">
        <f>IFERROR(VLOOKUP(A38,מחירון!A:F,5,),"")</f>
        <v/>
      </c>
      <c r="D38" s="18" t="str">
        <f>IFERROR(VLOOKUP(A38,מחירון!A:G,6,)*B38,"")</f>
        <v/>
      </c>
    </row>
    <row r="39" spans="1:4" x14ac:dyDescent="0.25">
      <c r="A39" s="1"/>
      <c r="B39" s="1"/>
      <c r="C39" s="1" t="str">
        <f>IFERROR(VLOOKUP(A39,מחירון!A:F,5,),"")</f>
        <v/>
      </c>
      <c r="D39" s="18" t="str">
        <f>IFERROR(VLOOKUP(A39,מחירון!A:G,6,)*B39,"")</f>
        <v/>
      </c>
    </row>
    <row r="40" spans="1:4" x14ac:dyDescent="0.25">
      <c r="A40" s="1"/>
      <c r="B40" s="1"/>
      <c r="C40" s="1" t="str">
        <f>IFERROR(VLOOKUP(A40,מחירון!A:F,5,),"")</f>
        <v/>
      </c>
      <c r="D40" s="18" t="str">
        <f>IFERROR(VLOOKUP(A40,מחירון!A:G,6,)*B40,"")</f>
        <v/>
      </c>
    </row>
    <row r="41" spans="1:4" x14ac:dyDescent="0.25">
      <c r="A41" s="1"/>
      <c r="B41" s="1"/>
      <c r="C41" s="1" t="str">
        <f>IFERROR(VLOOKUP(A41,מחירון!A:F,5,),"")</f>
        <v/>
      </c>
      <c r="D41" s="18" t="str">
        <f>IFERROR(VLOOKUP(A41,מחירון!A:G,6,)*B41,"")</f>
        <v/>
      </c>
    </row>
    <row r="42" spans="1:4" x14ac:dyDescent="0.25">
      <c r="A42" s="1"/>
      <c r="B42" s="1"/>
      <c r="C42" s="1" t="str">
        <f>IFERROR(VLOOKUP(A42,מחירון!A:F,5,),"")</f>
        <v/>
      </c>
      <c r="D42" s="18" t="str">
        <f>IFERROR(VLOOKUP(A42,מחירון!A:G,6,)*B42,"")</f>
        <v/>
      </c>
    </row>
    <row r="43" spans="1:4" x14ac:dyDescent="0.25">
      <c r="A43" s="1"/>
      <c r="B43" s="1"/>
      <c r="C43" s="1" t="str">
        <f>IFERROR(VLOOKUP(A43,מחירון!A:F,5,),"")</f>
        <v/>
      </c>
      <c r="D43" s="18" t="str">
        <f>IFERROR(VLOOKUP(A43,מחירון!A:G,6,)*B43,"")</f>
        <v/>
      </c>
    </row>
    <row r="44" spans="1:4" x14ac:dyDescent="0.25">
      <c r="A44" s="1"/>
      <c r="B44" s="1"/>
      <c r="C44" s="1" t="str">
        <f>IFERROR(VLOOKUP(A44,מחירון!A:F,5,),"")</f>
        <v/>
      </c>
      <c r="D44" s="18" t="str">
        <f>IFERROR(VLOOKUP(A44,מחירון!A:G,6,)*B44,"")</f>
        <v/>
      </c>
    </row>
    <row r="45" spans="1:4" x14ac:dyDescent="0.25">
      <c r="A45" s="1"/>
      <c r="B45" s="1"/>
      <c r="C45" s="1" t="str">
        <f>IFERROR(VLOOKUP(A45,מחירון!A:F,5,),"")</f>
        <v/>
      </c>
      <c r="D45" s="18" t="str">
        <f>IFERROR(VLOOKUP(A45,מחירון!A:G,6,)*B45,"")</f>
        <v/>
      </c>
    </row>
    <row r="46" spans="1:4" x14ac:dyDescent="0.25">
      <c r="A46" s="1"/>
      <c r="B46" s="1"/>
      <c r="C46" s="1" t="str">
        <f>IFERROR(VLOOKUP(A46,מחירון!A:F,5,),"")</f>
        <v/>
      </c>
      <c r="D46" s="18" t="str">
        <f>IFERROR(VLOOKUP(A46,מחירון!A:G,6,)*B46,"")</f>
        <v/>
      </c>
    </row>
    <row r="47" spans="1:4" x14ac:dyDescent="0.25">
      <c r="A47" s="1"/>
      <c r="B47" s="1"/>
      <c r="C47" s="1" t="str">
        <f>IFERROR(VLOOKUP(A47,מחירון!A:F,5,),"")</f>
        <v/>
      </c>
      <c r="D47" s="18" t="str">
        <f>IFERROR(VLOOKUP(A47,מחירון!A:G,6,)*B47,"")</f>
        <v/>
      </c>
    </row>
    <row r="48" spans="1:4" x14ac:dyDescent="0.25">
      <c r="A48" s="1"/>
      <c r="B48" s="1"/>
      <c r="C48" s="1" t="str">
        <f>IFERROR(VLOOKUP(A48,מחירון!A:F,5,),"")</f>
        <v/>
      </c>
      <c r="D48" s="18" t="str">
        <f>IFERROR(VLOOKUP(A48,מחירון!A:G,6,)*B48,"")</f>
        <v/>
      </c>
    </row>
    <row r="49" spans="1:4" x14ac:dyDescent="0.25">
      <c r="A49" s="1"/>
      <c r="B49" s="1"/>
      <c r="C49" s="1" t="str">
        <f>IFERROR(VLOOKUP(A49,מחירון!A:F,5,),"")</f>
        <v/>
      </c>
      <c r="D49" s="18" t="str">
        <f>IFERROR(VLOOKUP(A49,מחירון!A:G,6,)*B49,"")</f>
        <v/>
      </c>
    </row>
    <row r="50" spans="1:4" x14ac:dyDescent="0.25">
      <c r="A50" s="1"/>
      <c r="B50" s="1"/>
      <c r="C50" s="1" t="str">
        <f>IFERROR(VLOOKUP(A50,מחירון!A:F,5,),"")</f>
        <v/>
      </c>
      <c r="D50" s="18" t="str">
        <f>IFERROR(VLOOKUP(A50,מחירון!A:G,6,)*B50,"")</f>
        <v/>
      </c>
    </row>
    <row r="51" spans="1:4" x14ac:dyDescent="0.25">
      <c r="A51" s="1"/>
      <c r="B51" s="1"/>
      <c r="C51" s="1" t="str">
        <f>IFERROR(VLOOKUP(A51,מחירון!A:F,5,),"")</f>
        <v/>
      </c>
      <c r="D51" s="18" t="str">
        <f>IFERROR(VLOOKUP(A51,מחירון!A:G,6,)*B51,"")</f>
        <v/>
      </c>
    </row>
    <row r="52" spans="1:4" x14ac:dyDescent="0.25">
      <c r="A52" s="1"/>
      <c r="B52" s="1"/>
      <c r="C52" s="1" t="str">
        <f>IFERROR(VLOOKUP(A52,מחירון!A:F,5,),"")</f>
        <v/>
      </c>
      <c r="D52" s="18" t="str">
        <f>IFERROR(VLOOKUP(A52,מחירון!A:G,6,)*B52,"")</f>
        <v/>
      </c>
    </row>
    <row r="53" spans="1:4" x14ac:dyDescent="0.25">
      <c r="A53" s="1"/>
      <c r="B53" s="1"/>
      <c r="C53" s="1" t="str">
        <f>IFERROR(VLOOKUP(A53,מחירון!A:F,5,),"")</f>
        <v/>
      </c>
      <c r="D53" s="18" t="str">
        <f>IFERROR(VLOOKUP(A53,מחירון!A:G,6,)*B53,"")</f>
        <v/>
      </c>
    </row>
    <row r="54" spans="1:4" x14ac:dyDescent="0.25">
      <c r="A54" s="1"/>
      <c r="B54" s="1"/>
      <c r="C54" s="1" t="str">
        <f>IFERROR(VLOOKUP(A54,מחירון!A:F,5,),"")</f>
        <v/>
      </c>
      <c r="D54" s="18" t="str">
        <f>IFERROR(VLOOKUP(A54,מחירון!A:G,6,)*B54,"")</f>
        <v/>
      </c>
    </row>
    <row r="55" spans="1:4" x14ac:dyDescent="0.25">
      <c r="A55" s="1"/>
      <c r="B55" s="1"/>
      <c r="C55" s="1" t="str">
        <f>IFERROR(VLOOKUP(A55,מחירון!A:F,5,),"")</f>
        <v/>
      </c>
      <c r="D55" s="18" t="str">
        <f>IFERROR(VLOOKUP(A55,מחירון!A:G,6,)*B55,"")</f>
        <v/>
      </c>
    </row>
    <row r="56" spans="1:4" x14ac:dyDescent="0.25">
      <c r="A56" s="1"/>
      <c r="B56" s="1"/>
      <c r="C56" s="1" t="str">
        <f>IFERROR(VLOOKUP(A56,מחירון!A:F,5,),"")</f>
        <v/>
      </c>
      <c r="D56" s="18" t="str">
        <f>IFERROR(VLOOKUP(A56,מחירון!A:G,6,)*B56,"")</f>
        <v/>
      </c>
    </row>
    <row r="57" spans="1:4" x14ac:dyDescent="0.25">
      <c r="A57" s="1"/>
      <c r="B57" s="1"/>
      <c r="C57" s="1" t="str">
        <f>IFERROR(VLOOKUP(A57,מחירון!A:F,5,),"")</f>
        <v/>
      </c>
      <c r="D57" s="18" t="str">
        <f>IFERROR(VLOOKUP(A57,מחירון!A:G,6,)*B57,"")</f>
        <v/>
      </c>
    </row>
    <row r="58" spans="1:4" x14ac:dyDescent="0.25">
      <c r="A58" s="1"/>
      <c r="B58" s="1"/>
      <c r="C58" s="1" t="str">
        <f>IFERROR(VLOOKUP(A58,מחירון!A:F,5,),"")</f>
        <v/>
      </c>
      <c r="D58" s="18" t="str">
        <f>IFERROR(VLOOKUP(A58,מחירון!A:G,6,)*B58,"")</f>
        <v/>
      </c>
    </row>
    <row r="59" spans="1:4" x14ac:dyDescent="0.25">
      <c r="A59" s="1"/>
      <c r="B59" s="1"/>
      <c r="C59" s="1" t="str">
        <f>IFERROR(VLOOKUP(A59,מחירון!A:F,5,),"")</f>
        <v/>
      </c>
      <c r="D59" s="18" t="str">
        <f>IFERROR(VLOOKUP(A59,מחירון!A:G,6,)*B59,"")</f>
        <v/>
      </c>
    </row>
    <row r="60" spans="1:4" x14ac:dyDescent="0.25">
      <c r="A60" s="1"/>
      <c r="B60" s="1"/>
      <c r="C60" s="1" t="str">
        <f>IFERROR(VLOOKUP(A60,מחירון!A:F,5,),"")</f>
        <v/>
      </c>
      <c r="D60" s="18" t="str">
        <f>IFERROR(VLOOKUP(A60,מחירון!A:G,6,)*B60,"")</f>
        <v/>
      </c>
    </row>
    <row r="61" spans="1:4" x14ac:dyDescent="0.25">
      <c r="A61" s="1"/>
      <c r="B61" s="1"/>
      <c r="C61" s="1" t="str">
        <f>IFERROR(VLOOKUP(A61,מחירון!A:F,5,),"")</f>
        <v/>
      </c>
      <c r="D61" s="18" t="str">
        <f>IFERROR(VLOOKUP(A61,מחירון!A:G,6,)*B61,"")</f>
        <v/>
      </c>
    </row>
    <row r="62" spans="1:4" x14ac:dyDescent="0.25">
      <c r="A62" s="1"/>
      <c r="B62" s="1"/>
      <c r="C62" s="1" t="str">
        <f>IFERROR(VLOOKUP(A62,מחירון!A:F,5,),"")</f>
        <v/>
      </c>
      <c r="D62" s="18" t="str">
        <f>IFERROR(VLOOKUP(A62,מחירון!A:G,6,)*B62,"")</f>
        <v/>
      </c>
    </row>
    <row r="63" spans="1:4" x14ac:dyDescent="0.25">
      <c r="A63" s="1"/>
      <c r="B63" s="1"/>
      <c r="C63" s="1" t="str">
        <f>IFERROR(VLOOKUP(A63,מחירון!A:F,5,),"")</f>
        <v/>
      </c>
      <c r="D63" s="18" t="str">
        <f>IFERROR(VLOOKUP(A63,מחירון!A:G,6,)*B63,"")</f>
        <v/>
      </c>
    </row>
    <row r="64" spans="1:4" x14ac:dyDescent="0.25">
      <c r="A64" s="1"/>
      <c r="B64" s="1"/>
      <c r="C64" s="1" t="str">
        <f>IFERROR(VLOOKUP(A64,מחירון!A:F,5,),"")</f>
        <v/>
      </c>
      <c r="D64" s="18" t="str">
        <f>IFERROR(VLOOKUP(A64,מחירון!A:G,6,)*B64,"")</f>
        <v/>
      </c>
    </row>
    <row r="65" spans="1:4" x14ac:dyDescent="0.25">
      <c r="A65" s="1"/>
      <c r="B65" s="1"/>
      <c r="C65" s="1" t="str">
        <f>IFERROR(VLOOKUP(A65,מחירון!A:F,5,),"")</f>
        <v/>
      </c>
      <c r="D65" s="18" t="str">
        <f>IFERROR(VLOOKUP(A65,מחירון!A:G,6,)*B65,"")</f>
        <v/>
      </c>
    </row>
    <row r="66" spans="1:4" x14ac:dyDescent="0.25">
      <c r="A66" s="1"/>
      <c r="B66" s="1"/>
      <c r="C66" s="1" t="str">
        <f>IFERROR(VLOOKUP(A66,מחירון!A:F,5,),"")</f>
        <v/>
      </c>
      <c r="D66" s="18" t="str">
        <f>IFERROR(VLOOKUP(A66,מחירון!A:G,6,)*B66,"")</f>
        <v/>
      </c>
    </row>
    <row r="67" spans="1:4" x14ac:dyDescent="0.25">
      <c r="A67" s="1"/>
      <c r="B67" s="1"/>
      <c r="C67" s="1" t="str">
        <f>IFERROR(VLOOKUP(A67,מחירון!A:F,5,),"")</f>
        <v/>
      </c>
      <c r="D67" s="18" t="str">
        <f>IFERROR(VLOOKUP(A67,מחירון!A:G,6,)*B67,"")</f>
        <v/>
      </c>
    </row>
    <row r="68" spans="1:4" x14ac:dyDescent="0.25">
      <c r="A68" s="1"/>
      <c r="B68" s="1"/>
      <c r="C68" s="1" t="str">
        <f>IFERROR(VLOOKUP(A68,מחירון!A:F,5,),"")</f>
        <v/>
      </c>
      <c r="D68" s="18" t="str">
        <f>IFERROR(VLOOKUP(A68,מחירון!A:G,6,)*B68,"")</f>
        <v/>
      </c>
    </row>
    <row r="69" spans="1:4" x14ac:dyDescent="0.25">
      <c r="A69" s="1"/>
      <c r="B69" s="1"/>
      <c r="C69" s="1" t="str">
        <f>IFERROR(VLOOKUP(A69,מחירון!A:F,5,),"")</f>
        <v/>
      </c>
      <c r="D69" s="18" t="str">
        <f>IFERROR(VLOOKUP(A69,מחירון!A:G,6,)*B69,"")</f>
        <v/>
      </c>
    </row>
    <row r="70" spans="1:4" x14ac:dyDescent="0.25">
      <c r="A70" s="1"/>
      <c r="B70" s="1"/>
      <c r="C70" s="1" t="str">
        <f>IFERROR(VLOOKUP(A70,מחירון!A:F,5,),"")</f>
        <v/>
      </c>
      <c r="D70" s="18" t="str">
        <f>IFERROR(VLOOKUP(A70,מחירון!A:G,6,)*B70,"")</f>
        <v/>
      </c>
    </row>
    <row r="71" spans="1:4" x14ac:dyDescent="0.25">
      <c r="A71" s="1"/>
      <c r="B71" s="1"/>
      <c r="C71" s="1" t="str">
        <f>IFERROR(VLOOKUP(A71,מחירון!A:F,5,),"")</f>
        <v/>
      </c>
      <c r="D71" s="18" t="str">
        <f>IFERROR(VLOOKUP(A71,מחירון!A:G,6,)*B71,"")</f>
        <v/>
      </c>
    </row>
    <row r="72" spans="1:4" x14ac:dyDescent="0.25">
      <c r="A72" s="1"/>
      <c r="B72" s="1"/>
      <c r="C72" s="1" t="str">
        <f>IFERROR(VLOOKUP(A72,מחירון!A:F,5,),"")</f>
        <v/>
      </c>
      <c r="D72" s="18" t="str">
        <f>IFERROR(VLOOKUP(A72,מחירון!A:G,6,)*B72,"")</f>
        <v/>
      </c>
    </row>
    <row r="73" spans="1:4" x14ac:dyDescent="0.25">
      <c r="A73" s="1"/>
      <c r="B73" s="1"/>
      <c r="C73" s="1" t="str">
        <f>IFERROR(VLOOKUP(A73,מחירון!A:F,5,),"")</f>
        <v/>
      </c>
      <c r="D73" s="18" t="str">
        <f>IFERROR(VLOOKUP(A73,מחירון!A:G,6,)*B73,"")</f>
        <v/>
      </c>
    </row>
    <row r="74" spans="1:4" x14ac:dyDescent="0.25">
      <c r="A74" s="1"/>
      <c r="B74" s="1"/>
      <c r="C74" s="1" t="str">
        <f>IFERROR(VLOOKUP(A74,מחירון!A:F,5,),"")</f>
        <v/>
      </c>
      <c r="D74" s="18" t="str">
        <f>IFERROR(VLOOKUP(A74,מחירון!A:G,6,)*B74,"")</f>
        <v/>
      </c>
    </row>
    <row r="75" spans="1:4" x14ac:dyDescent="0.25">
      <c r="A75" s="1"/>
      <c r="B75" s="1"/>
      <c r="C75" s="1" t="str">
        <f>IFERROR(VLOOKUP(A75,מחירון!A:F,5,),"")</f>
        <v/>
      </c>
      <c r="D75" s="18" t="str">
        <f>IFERROR(VLOOKUP(A75,מחירון!A:G,6,)*B75,"")</f>
        <v/>
      </c>
    </row>
    <row r="76" spans="1:4" x14ac:dyDescent="0.25">
      <c r="A76" s="1"/>
      <c r="B76" s="1"/>
      <c r="C76" s="1" t="str">
        <f>IFERROR(VLOOKUP(A76,מחירון!A:F,5,),"")</f>
        <v/>
      </c>
      <c r="D76" s="18" t="str">
        <f>IFERROR(VLOOKUP(A76,מחירון!A:G,6,)*B76,"")</f>
        <v/>
      </c>
    </row>
    <row r="77" spans="1:4" x14ac:dyDescent="0.25">
      <c r="A77" s="1"/>
      <c r="B77" s="1"/>
      <c r="C77" s="1" t="str">
        <f>IFERROR(VLOOKUP(A77,מחירון!A:F,5,),"")</f>
        <v/>
      </c>
      <c r="D77" s="18" t="str">
        <f>IFERROR(VLOOKUP(A77,מחירון!A:G,6,)*B77,"")</f>
        <v/>
      </c>
    </row>
    <row r="78" spans="1:4" x14ac:dyDescent="0.25">
      <c r="A78" s="1"/>
      <c r="B78" s="1"/>
      <c r="C78" s="1" t="str">
        <f>IFERROR(VLOOKUP(A78,מחירון!A:F,5,),"")</f>
        <v/>
      </c>
      <c r="D78" s="18" t="str">
        <f>IFERROR(VLOOKUP(A78,מחירון!A:G,6,)*B78,"")</f>
        <v/>
      </c>
    </row>
    <row r="79" spans="1:4" x14ac:dyDescent="0.25">
      <c r="A79" s="1"/>
      <c r="B79" s="1"/>
      <c r="C79" s="1" t="str">
        <f>IFERROR(VLOOKUP(A79,מחירון!A:F,5,),"")</f>
        <v/>
      </c>
      <c r="D79" s="18" t="str">
        <f>IFERROR(VLOOKUP(A79,מחירון!A:G,6,)*B79,"")</f>
        <v/>
      </c>
    </row>
    <row r="80" spans="1:4" x14ac:dyDescent="0.25">
      <c r="A80" s="1"/>
      <c r="B80" s="1"/>
      <c r="C80" s="1" t="str">
        <f>IFERROR(VLOOKUP(A80,מחירון!A:F,5,),"")</f>
        <v/>
      </c>
      <c r="D80" s="18" t="str">
        <f>IFERROR(VLOOKUP(A80,מחירון!A:G,6,)*B80,"")</f>
        <v/>
      </c>
    </row>
    <row r="81" spans="1:4" x14ac:dyDescent="0.25">
      <c r="A81" s="1"/>
      <c r="B81" s="1"/>
      <c r="C81" s="1" t="str">
        <f>IFERROR(VLOOKUP(A81,מחירון!A:F,5,),"")</f>
        <v/>
      </c>
      <c r="D81" s="18" t="str">
        <f>IFERROR(VLOOKUP(A81,מחירון!A:G,6,)*B81,"")</f>
        <v/>
      </c>
    </row>
    <row r="82" spans="1:4" x14ac:dyDescent="0.25">
      <c r="A82" s="1"/>
      <c r="B82" s="1"/>
      <c r="C82" s="1" t="str">
        <f>IFERROR(VLOOKUP(A82,מחירון!A:F,5,),"")</f>
        <v/>
      </c>
      <c r="D82" s="18" t="str">
        <f>IFERROR(VLOOKUP(A82,מחירון!A:G,6,)*B82,"")</f>
        <v/>
      </c>
    </row>
    <row r="83" spans="1:4" x14ac:dyDescent="0.25">
      <c r="A83" s="1"/>
      <c r="B83" s="1"/>
      <c r="C83" s="1" t="str">
        <f>IFERROR(VLOOKUP(A83,מחירון!A:F,5,),"")</f>
        <v/>
      </c>
      <c r="D83" s="18" t="str">
        <f>IFERROR(VLOOKUP(A83,מחירון!A:G,6,)*B83,"")</f>
        <v/>
      </c>
    </row>
    <row r="84" spans="1:4" x14ac:dyDescent="0.25">
      <c r="A84" s="1"/>
      <c r="B84" s="1"/>
      <c r="C84" s="1" t="str">
        <f>IFERROR(VLOOKUP(A84,מחירון!A:F,5,),"")</f>
        <v/>
      </c>
      <c r="D84" s="18" t="str">
        <f>IFERROR(VLOOKUP(A84,מחירון!A:G,6,)*B84,"")</f>
        <v/>
      </c>
    </row>
    <row r="85" spans="1:4" x14ac:dyDescent="0.25">
      <c r="A85" s="1"/>
      <c r="B85" s="1"/>
      <c r="C85" s="1" t="str">
        <f>IFERROR(VLOOKUP(A85,מחירון!A:F,5,),"")</f>
        <v/>
      </c>
      <c r="D85" s="18" t="str">
        <f>IFERROR(VLOOKUP(A85,מחירון!A:G,6,)*B85,"")</f>
        <v/>
      </c>
    </row>
    <row r="86" spans="1:4" x14ac:dyDescent="0.25">
      <c r="A86" s="1"/>
      <c r="B86" s="1"/>
      <c r="C86" s="1" t="str">
        <f>IFERROR(VLOOKUP(A86,מחירון!A:F,5,),"")</f>
        <v/>
      </c>
      <c r="D86" s="18" t="str">
        <f>IFERROR(VLOOKUP(A86,מחירון!A:G,6,)*B86,"")</f>
        <v/>
      </c>
    </row>
    <row r="87" spans="1:4" x14ac:dyDescent="0.25">
      <c r="A87" s="1"/>
      <c r="B87" s="1"/>
      <c r="C87" s="1" t="str">
        <f>IFERROR(VLOOKUP(A87,מחירון!A:F,5,),"")</f>
        <v/>
      </c>
      <c r="D87" s="18" t="str">
        <f>IFERROR(VLOOKUP(A87,מחירון!A:G,6,)*B87,"")</f>
        <v/>
      </c>
    </row>
    <row r="88" spans="1:4" x14ac:dyDescent="0.25">
      <c r="A88" s="1"/>
      <c r="B88" s="1"/>
      <c r="C88" s="1" t="str">
        <f>IFERROR(VLOOKUP(A88,מחירון!A:F,5,),"")</f>
        <v/>
      </c>
      <c r="D88" s="18" t="str">
        <f>IFERROR(VLOOKUP(A88,מחירון!A:G,6,)*B88,"")</f>
        <v/>
      </c>
    </row>
    <row r="89" spans="1:4" x14ac:dyDescent="0.25">
      <c r="A89" s="1"/>
      <c r="B89" s="1"/>
      <c r="C89" s="1" t="str">
        <f>IFERROR(VLOOKUP(A89,מחירון!A:F,5,),"")</f>
        <v/>
      </c>
      <c r="D89" s="18" t="str">
        <f>IFERROR(VLOOKUP(A89,מחירון!A:G,6,)*B89,"")</f>
        <v/>
      </c>
    </row>
    <row r="90" spans="1:4" x14ac:dyDescent="0.25">
      <c r="A90" s="1"/>
      <c r="B90" s="1"/>
      <c r="C90" s="1" t="str">
        <f>IFERROR(VLOOKUP(A90,מחירון!A:F,5,),"")</f>
        <v/>
      </c>
      <c r="D90" s="18" t="str">
        <f>IFERROR(VLOOKUP(A90,מחירון!A:G,6,)*B90,"")</f>
        <v/>
      </c>
    </row>
    <row r="91" spans="1:4" x14ac:dyDescent="0.25">
      <c r="A91" s="1"/>
      <c r="B91" s="1"/>
      <c r="C91" s="1" t="str">
        <f>IFERROR(VLOOKUP(A91,מחירון!A:F,5,),"")</f>
        <v/>
      </c>
      <c r="D91" s="18" t="str">
        <f>IFERROR(VLOOKUP(A91,מחירון!A:G,6,)*B91,"")</f>
        <v/>
      </c>
    </row>
    <row r="92" spans="1:4" x14ac:dyDescent="0.25">
      <c r="A92" s="1"/>
      <c r="B92" s="1"/>
      <c r="C92" s="1" t="str">
        <f>IFERROR(VLOOKUP(A92,מחירון!A:F,5,),"")</f>
        <v/>
      </c>
      <c r="D92" s="18" t="str">
        <f>IFERROR(VLOOKUP(A92,מחירון!A:G,6,)*B92,"")</f>
        <v/>
      </c>
    </row>
    <row r="93" spans="1:4" x14ac:dyDescent="0.25">
      <c r="A93" s="1"/>
      <c r="B93" s="1"/>
      <c r="C93" s="1" t="str">
        <f>IFERROR(VLOOKUP(A93,מחירון!A:F,5,),"")</f>
        <v/>
      </c>
      <c r="D93" s="18" t="str">
        <f>IFERROR(VLOOKUP(A93,מחירון!A:G,6,)*B93,"")</f>
        <v/>
      </c>
    </row>
    <row r="94" spans="1:4" x14ac:dyDescent="0.25">
      <c r="A94" s="1"/>
      <c r="B94" s="1"/>
      <c r="C94" s="1" t="str">
        <f>IFERROR(VLOOKUP(A94,מחירון!A:F,5,),"")</f>
        <v/>
      </c>
      <c r="D94" s="18" t="str">
        <f>IFERROR(VLOOKUP(A94,מחירון!A:G,6,)*B94,"")</f>
        <v/>
      </c>
    </row>
    <row r="95" spans="1:4" x14ac:dyDescent="0.25">
      <c r="A95" s="1"/>
      <c r="B95" s="1"/>
      <c r="C95" s="1" t="str">
        <f>IFERROR(VLOOKUP(A95,מחירון!A:F,5,),"")</f>
        <v/>
      </c>
      <c r="D95" s="18" t="str">
        <f>IFERROR(VLOOKUP(A95,מחירון!A:G,6,)*B95,"")</f>
        <v/>
      </c>
    </row>
    <row r="96" spans="1:4" x14ac:dyDescent="0.25">
      <c r="A96" s="1"/>
      <c r="B96" s="1"/>
      <c r="C96" s="1" t="str">
        <f>IFERROR(VLOOKUP(A96,מחירון!A:F,5,),"")</f>
        <v/>
      </c>
      <c r="D96" s="18" t="str">
        <f>IFERROR(VLOOKUP(A96,מחירון!A:G,6,)*B96,"")</f>
        <v/>
      </c>
    </row>
    <row r="97" spans="1:4" x14ac:dyDescent="0.25">
      <c r="A97" s="1"/>
      <c r="B97" s="1"/>
      <c r="C97" s="1" t="str">
        <f>IFERROR(VLOOKUP(A97,מחירון!A:F,5,),"")</f>
        <v/>
      </c>
      <c r="D97" s="18" t="str">
        <f>IFERROR(VLOOKUP(A97,מחירון!A:G,6,)*B97,"")</f>
        <v/>
      </c>
    </row>
    <row r="98" spans="1:4" x14ac:dyDescent="0.25">
      <c r="A98" s="1"/>
      <c r="B98" s="1"/>
      <c r="C98" s="1" t="str">
        <f>IFERROR(VLOOKUP(A98,מחירון!A:F,5,),"")</f>
        <v/>
      </c>
      <c r="D98" s="18" t="str">
        <f>IFERROR(VLOOKUP(A98,מחירון!A:G,6,)*B98,"")</f>
        <v/>
      </c>
    </row>
    <row r="99" spans="1:4" x14ac:dyDescent="0.25">
      <c r="A99" s="1"/>
      <c r="B99" s="1"/>
      <c r="C99" s="1" t="str">
        <f>IFERROR(VLOOKUP(A99,מחירון!A:F,5,),"")</f>
        <v/>
      </c>
      <c r="D99" s="18" t="str">
        <f>IFERROR(VLOOKUP(A99,מחירון!A:G,6,)*B99,"")</f>
        <v/>
      </c>
    </row>
    <row r="100" spans="1:4" x14ac:dyDescent="0.25">
      <c r="A100" s="1"/>
      <c r="B100" s="1"/>
      <c r="C100" s="1" t="str">
        <f>IFERROR(VLOOKUP(A100,מחירון!A:F,5,),"")</f>
        <v/>
      </c>
      <c r="D100" s="18" t="str">
        <f>IFERROR(VLOOKUP(A100,מחירון!A:G,6,)*B100,"")</f>
        <v/>
      </c>
    </row>
    <row r="101" spans="1:4" x14ac:dyDescent="0.25">
      <c r="A101" s="1"/>
      <c r="B101" s="1"/>
      <c r="C101" s="1" t="str">
        <f>IFERROR(VLOOKUP(A101,מחירון!A:F,5,),"")</f>
        <v/>
      </c>
      <c r="D101" s="18" t="str">
        <f>IFERROR(VLOOKUP(A101,מחירון!A:G,6,)*B101,"")</f>
        <v/>
      </c>
    </row>
    <row r="102" spans="1:4" x14ac:dyDescent="0.25">
      <c r="A102" s="1"/>
      <c r="B102" s="1"/>
      <c r="C102" s="1" t="str">
        <f>IFERROR(VLOOKUP(A102,מחירון!A:F,5,),"")</f>
        <v/>
      </c>
      <c r="D102" s="18" t="str">
        <f>IFERROR(VLOOKUP(A102,מחירון!A:G,6,)*B102,"")</f>
        <v/>
      </c>
    </row>
    <row r="103" spans="1:4" x14ac:dyDescent="0.25">
      <c r="A103" s="1"/>
      <c r="B103" s="1"/>
      <c r="C103" s="1" t="str">
        <f>IFERROR(VLOOKUP(A103,מחירון!A:F,5,),"")</f>
        <v/>
      </c>
      <c r="D103" s="18" t="str">
        <f>IFERROR(VLOOKUP(A103,מחירון!A:G,6,)*B103,"")</f>
        <v/>
      </c>
    </row>
    <row r="104" spans="1:4" x14ac:dyDescent="0.25">
      <c r="A104" s="1"/>
      <c r="B104" s="1"/>
      <c r="C104" s="1" t="str">
        <f>IFERROR(VLOOKUP(A104,מחירון!A:F,5,),"")</f>
        <v/>
      </c>
      <c r="D104" s="18" t="str">
        <f>IFERROR(VLOOKUP(A104,מחירון!A:G,6,)*B104,"")</f>
        <v/>
      </c>
    </row>
    <row r="105" spans="1:4" x14ac:dyDescent="0.25">
      <c r="A105" s="1"/>
      <c r="B105" s="1"/>
      <c r="C105" s="1" t="str">
        <f>IFERROR(VLOOKUP(A105,מחירון!A:F,5,),"")</f>
        <v/>
      </c>
      <c r="D105" s="18" t="str">
        <f>IFERROR(VLOOKUP(A105,מחירון!A:G,6,)*B105,"")</f>
        <v/>
      </c>
    </row>
    <row r="106" spans="1:4" x14ac:dyDescent="0.25">
      <c r="A106" s="1"/>
      <c r="B106" s="1"/>
      <c r="C106" s="1" t="str">
        <f>IFERROR(VLOOKUP(A106,מחירון!A:F,5,),"")</f>
        <v/>
      </c>
      <c r="D106" s="18" t="str">
        <f>IFERROR(VLOOKUP(A106,מחירון!A:G,6,)*B106,"")</f>
        <v/>
      </c>
    </row>
    <row r="107" spans="1:4" x14ac:dyDescent="0.25">
      <c r="A107" s="1"/>
      <c r="B107" s="1"/>
      <c r="C107" s="1" t="str">
        <f>IFERROR(VLOOKUP(A107,מחירון!A:F,5,),"")</f>
        <v/>
      </c>
      <c r="D107" s="18" t="str">
        <f>IFERROR(VLOOKUP(A107,מחירון!A:G,6,)*B107,"")</f>
        <v/>
      </c>
    </row>
    <row r="108" spans="1:4" x14ac:dyDescent="0.25">
      <c r="A108" s="1"/>
      <c r="B108" s="1"/>
      <c r="C108" s="1" t="str">
        <f>IFERROR(VLOOKUP(A108,מחירון!A:F,5,),"")</f>
        <v/>
      </c>
      <c r="D108" s="18" t="str">
        <f>IFERROR(VLOOKUP(A108,מחירון!A:G,6,)*B108,"")</f>
        <v/>
      </c>
    </row>
    <row r="109" spans="1:4" x14ac:dyDescent="0.25">
      <c r="A109" s="1"/>
      <c r="B109" s="1"/>
      <c r="C109" s="1" t="str">
        <f>IFERROR(VLOOKUP(A109,מחירון!A:F,5,),"")</f>
        <v/>
      </c>
      <c r="D109" s="18" t="str">
        <f>IFERROR(VLOOKUP(A109,מחירון!A:G,6,)*B109,"")</f>
        <v/>
      </c>
    </row>
    <row r="110" spans="1:4" x14ac:dyDescent="0.25">
      <c r="A110" s="1"/>
      <c r="B110" s="1"/>
      <c r="C110" s="1" t="str">
        <f>IFERROR(VLOOKUP(A110,מחירון!A:F,5,),"")</f>
        <v/>
      </c>
      <c r="D110" s="18" t="str">
        <f>IFERROR(VLOOKUP(A110,מחירון!A:G,6,)*B110,"")</f>
        <v/>
      </c>
    </row>
    <row r="111" spans="1:4" x14ac:dyDescent="0.25">
      <c r="A111" s="1"/>
      <c r="B111" s="1"/>
      <c r="C111" s="1" t="str">
        <f>IFERROR(VLOOKUP(A111,מחירון!A:F,5,),"")</f>
        <v/>
      </c>
      <c r="D111" s="18" t="str">
        <f>IFERROR(VLOOKUP(A111,מחירון!A:G,6,)*B111,"")</f>
        <v/>
      </c>
    </row>
    <row r="112" spans="1:4" x14ac:dyDescent="0.25">
      <c r="A112" s="1"/>
      <c r="B112" s="1"/>
      <c r="C112" s="1" t="str">
        <f>IFERROR(VLOOKUP(A112,מחירון!A:F,5,),"")</f>
        <v/>
      </c>
      <c r="D112" s="18" t="str">
        <f>IFERROR(VLOOKUP(A112,מחירון!A:G,6,)*B112,"")</f>
        <v/>
      </c>
    </row>
    <row r="113" spans="1:4" x14ac:dyDescent="0.25">
      <c r="A113" s="1"/>
      <c r="B113" s="1"/>
      <c r="C113" s="1" t="str">
        <f>IFERROR(VLOOKUP(A113,מחירון!A:F,5,),"")</f>
        <v/>
      </c>
      <c r="D113" s="18" t="str">
        <f>IFERROR(VLOOKUP(A113,מחירון!A:G,6,)*B113,"")</f>
        <v/>
      </c>
    </row>
    <row r="114" spans="1:4" x14ac:dyDescent="0.25">
      <c r="A114" s="1"/>
      <c r="B114" s="1"/>
      <c r="C114" s="1" t="str">
        <f>IFERROR(VLOOKUP(A114,מחירון!A:F,5,),"")</f>
        <v/>
      </c>
      <c r="D114" s="18" t="str">
        <f>IFERROR(VLOOKUP(A114,מחירון!A:G,6,)*B114,"")</f>
        <v/>
      </c>
    </row>
    <row r="115" spans="1:4" x14ac:dyDescent="0.25">
      <c r="A115" s="1"/>
      <c r="B115" s="1"/>
      <c r="C115" s="1" t="str">
        <f>IFERROR(VLOOKUP(A115,מחירון!A:F,5,),"")</f>
        <v/>
      </c>
      <c r="D115" s="18" t="str">
        <f>IFERROR(VLOOKUP(A115,מחירון!A:G,6,)*B115,"")</f>
        <v/>
      </c>
    </row>
    <row r="116" spans="1:4" x14ac:dyDescent="0.25">
      <c r="A116" s="1"/>
      <c r="B116" s="1"/>
      <c r="C116" s="1" t="str">
        <f>IFERROR(VLOOKUP(A116,מחירון!A:F,5,),"")</f>
        <v/>
      </c>
      <c r="D116" s="18" t="str">
        <f>IFERROR(VLOOKUP(A116,מחירון!A:G,6,)*B116,"")</f>
        <v/>
      </c>
    </row>
    <row r="117" spans="1:4" x14ac:dyDescent="0.25">
      <c r="A117" s="1"/>
      <c r="B117" s="1"/>
      <c r="C117" s="1" t="str">
        <f>IFERROR(VLOOKUP(A117,מחירון!A:F,5,),"")</f>
        <v/>
      </c>
      <c r="D117" s="18" t="str">
        <f>IFERROR(VLOOKUP(A117,מחירון!A:G,6,)*B117,"")</f>
        <v/>
      </c>
    </row>
    <row r="118" spans="1:4" x14ac:dyDescent="0.25">
      <c r="A118" s="1"/>
      <c r="B118" s="1"/>
      <c r="C118" s="1" t="str">
        <f>IFERROR(VLOOKUP(A118,מחירון!A:F,5,),"")</f>
        <v/>
      </c>
      <c r="D118" s="18" t="str">
        <f>IFERROR(VLOOKUP(A118,מחירון!A:G,6,)*B118,"")</f>
        <v/>
      </c>
    </row>
    <row r="119" spans="1:4" x14ac:dyDescent="0.25">
      <c r="A119" s="1"/>
      <c r="B119" s="1"/>
      <c r="C119" s="1" t="str">
        <f>IFERROR(VLOOKUP(A119,מחירון!A:F,5,),"")</f>
        <v/>
      </c>
      <c r="D119" s="18" t="str">
        <f>IFERROR(VLOOKUP(A119,מחירון!A:G,6,)*B119,"")</f>
        <v/>
      </c>
    </row>
    <row r="120" spans="1:4" x14ac:dyDescent="0.25">
      <c r="A120" s="1"/>
      <c r="B120" s="1"/>
      <c r="C120" s="1" t="str">
        <f>IFERROR(VLOOKUP(A120,מחירון!A:F,5,),"")</f>
        <v/>
      </c>
      <c r="D120" s="18" t="str">
        <f>IFERROR(VLOOKUP(A120,מחירון!A:G,6,)*B120,"")</f>
        <v/>
      </c>
    </row>
    <row r="121" spans="1:4" x14ac:dyDescent="0.25">
      <c r="A121" s="1"/>
      <c r="B121" s="1"/>
      <c r="C121" s="1" t="str">
        <f>IFERROR(VLOOKUP(A121,מחירון!A:F,5,),"")</f>
        <v/>
      </c>
      <c r="D121" s="18" t="str">
        <f>IFERROR(VLOOKUP(A121,מחירון!A:G,6,)*B121,"")</f>
        <v/>
      </c>
    </row>
    <row r="122" spans="1:4" x14ac:dyDescent="0.25">
      <c r="A122" s="1"/>
      <c r="B122" s="1"/>
      <c r="C122" s="1" t="str">
        <f>IFERROR(VLOOKUP(A122,מחירון!A:F,5,),"")</f>
        <v/>
      </c>
      <c r="D122" s="18" t="str">
        <f>IFERROR(VLOOKUP(A122,מחירון!A:G,6,)*B122,"")</f>
        <v/>
      </c>
    </row>
    <row r="123" spans="1:4" x14ac:dyDescent="0.25">
      <c r="A123" s="1"/>
      <c r="B123" s="1"/>
      <c r="C123" s="1" t="str">
        <f>IFERROR(VLOOKUP(A123,מחירון!A:F,5,),"")</f>
        <v/>
      </c>
      <c r="D123" s="18" t="str">
        <f>IFERROR(VLOOKUP(A123,מחירון!A:G,6,)*B123,"")</f>
        <v/>
      </c>
    </row>
    <row r="124" spans="1:4" x14ac:dyDescent="0.25">
      <c r="A124" s="1"/>
      <c r="B124" s="1"/>
      <c r="C124" s="1" t="str">
        <f>IFERROR(VLOOKUP(A124,מחירון!A:F,5,),"")</f>
        <v/>
      </c>
      <c r="D124" s="18" t="str">
        <f>IFERROR(VLOOKUP(A124,מחירון!A:G,6,)*B124,"")</f>
        <v/>
      </c>
    </row>
    <row r="125" spans="1:4" x14ac:dyDescent="0.25">
      <c r="A125" s="1"/>
      <c r="B125" s="1"/>
      <c r="C125" s="1" t="str">
        <f>IFERROR(VLOOKUP(A125,מחירון!A:F,5,),"")</f>
        <v/>
      </c>
      <c r="D125" s="18" t="str">
        <f>IFERROR(VLOOKUP(A125,מחירון!A:G,6,)*B125,"")</f>
        <v/>
      </c>
    </row>
    <row r="126" spans="1:4" x14ac:dyDescent="0.25">
      <c r="A126" s="1"/>
      <c r="B126" s="1"/>
      <c r="C126" s="1" t="str">
        <f>IFERROR(VLOOKUP(A126,מחירון!A:F,5,),"")</f>
        <v/>
      </c>
      <c r="D126" s="18" t="str">
        <f>IFERROR(VLOOKUP(A126,מחירון!A:G,6,)*B126,"")</f>
        <v/>
      </c>
    </row>
    <row r="127" spans="1:4" x14ac:dyDescent="0.25">
      <c r="A127" s="1"/>
      <c r="B127" s="1"/>
      <c r="C127" s="1" t="str">
        <f>IFERROR(VLOOKUP(A127,מחירון!A:F,5,),"")</f>
        <v/>
      </c>
      <c r="D127" s="18" t="str">
        <f>IFERROR(VLOOKUP(A127,מחירון!A:G,6,)*B127,"")</f>
        <v/>
      </c>
    </row>
    <row r="128" spans="1:4" x14ac:dyDescent="0.25">
      <c r="A128" s="1"/>
      <c r="B128" s="1"/>
      <c r="C128" s="1" t="str">
        <f>IFERROR(VLOOKUP(A128,מחירון!A:F,5,),"")</f>
        <v/>
      </c>
      <c r="D128" s="18" t="str">
        <f>IFERROR(VLOOKUP(A128,מחירון!A:G,6,)*B128,"")</f>
        <v/>
      </c>
    </row>
    <row r="129" spans="1:4" x14ac:dyDescent="0.25">
      <c r="A129" s="1"/>
      <c r="B129" s="1"/>
      <c r="C129" s="1" t="str">
        <f>IFERROR(VLOOKUP(A129,מחירון!A:F,5,),"")</f>
        <v/>
      </c>
      <c r="D129" s="18" t="str">
        <f>IFERROR(VLOOKUP(A129,מחירון!A:G,6,)*B129,"")</f>
        <v/>
      </c>
    </row>
    <row r="130" spans="1:4" x14ac:dyDescent="0.25">
      <c r="A130" s="1"/>
      <c r="B130" s="1"/>
      <c r="C130" s="1" t="str">
        <f>IFERROR(VLOOKUP(A130,מחירון!A:F,5,),"")</f>
        <v/>
      </c>
      <c r="D130" s="18" t="str">
        <f>IFERROR(VLOOKUP(A130,מחירון!A:G,6,)*B130,"")</f>
        <v/>
      </c>
    </row>
    <row r="131" spans="1:4" x14ac:dyDescent="0.25">
      <c r="A131" s="1"/>
      <c r="B131" s="1"/>
      <c r="C131" s="1" t="str">
        <f>IFERROR(VLOOKUP(A131,מחירון!A:F,5,),"")</f>
        <v/>
      </c>
      <c r="D131" s="18" t="str">
        <f>IFERROR(VLOOKUP(A131,מחירון!A:G,6,)*B131,"")</f>
        <v/>
      </c>
    </row>
    <row r="132" spans="1:4" x14ac:dyDescent="0.25">
      <c r="A132" s="1"/>
      <c r="B132" s="1"/>
      <c r="C132" s="1" t="str">
        <f>IFERROR(VLOOKUP(A132,מחירון!A:F,5,),"")</f>
        <v/>
      </c>
      <c r="D132" s="18" t="str">
        <f>IFERROR(VLOOKUP(A132,מחירון!A:G,6,)*B132,"")</f>
        <v/>
      </c>
    </row>
    <row r="133" spans="1:4" x14ac:dyDescent="0.25">
      <c r="A133" s="1"/>
      <c r="B133" s="1"/>
      <c r="C133" s="1" t="str">
        <f>IFERROR(VLOOKUP(A133,מחירון!A:F,5,),"")</f>
        <v/>
      </c>
      <c r="D133" s="18" t="str">
        <f>IFERROR(VLOOKUP(A133,מחירון!A:G,6,)*B133,"")</f>
        <v/>
      </c>
    </row>
    <row r="134" spans="1:4" x14ac:dyDescent="0.25">
      <c r="A134" s="1"/>
      <c r="B134" s="1"/>
      <c r="C134" s="1" t="str">
        <f>IFERROR(VLOOKUP(A134,מחירון!A:F,5,),"")</f>
        <v/>
      </c>
      <c r="D134" s="18" t="str">
        <f>IFERROR(VLOOKUP(A134,מחירון!A:G,6,)*B134,"")</f>
        <v/>
      </c>
    </row>
    <row r="135" spans="1:4" x14ac:dyDescent="0.25">
      <c r="A135" s="1"/>
      <c r="B135" s="1"/>
      <c r="C135" s="1" t="str">
        <f>IFERROR(VLOOKUP(A135,מחירון!A:F,5,),"")</f>
        <v/>
      </c>
      <c r="D135" s="18" t="str">
        <f>IFERROR(VLOOKUP(A135,מחירון!A:G,6,)*B135,"")</f>
        <v/>
      </c>
    </row>
    <row r="136" spans="1:4" x14ac:dyDescent="0.25">
      <c r="A136" s="1"/>
      <c r="B136" s="1"/>
      <c r="C136" s="1" t="str">
        <f>IFERROR(VLOOKUP(A136,מחירון!A:F,5,),"")</f>
        <v/>
      </c>
      <c r="D136" s="18" t="str">
        <f>IFERROR(VLOOKUP(A136,מחירון!A:G,6,)*B136,"")</f>
        <v/>
      </c>
    </row>
    <row r="137" spans="1:4" x14ac:dyDescent="0.25">
      <c r="A137" s="1"/>
      <c r="B137" s="1"/>
      <c r="C137" s="1" t="str">
        <f>IFERROR(VLOOKUP(A137,מחירון!A:F,5,),"")</f>
        <v/>
      </c>
      <c r="D137" s="18" t="str">
        <f>IFERROR(VLOOKUP(A137,מחירון!A:G,6,)*B137,"")</f>
        <v/>
      </c>
    </row>
    <row r="138" spans="1:4" x14ac:dyDescent="0.25">
      <c r="A138" s="1"/>
      <c r="B138" s="1"/>
      <c r="C138" s="1" t="str">
        <f>IFERROR(VLOOKUP(A138,מחירון!A:F,5,),"")</f>
        <v/>
      </c>
      <c r="D138" s="18" t="str">
        <f>IFERROR(VLOOKUP(A138,מחירון!A:G,6,)*B138,"")</f>
        <v/>
      </c>
    </row>
    <row r="139" spans="1:4" x14ac:dyDescent="0.25">
      <c r="A139" s="1"/>
      <c r="B139" s="1"/>
      <c r="C139" s="1" t="str">
        <f>IFERROR(VLOOKUP(A139,מחירון!A:F,5,),"")</f>
        <v/>
      </c>
      <c r="D139" s="18" t="str">
        <f>IFERROR(VLOOKUP(A139,מחירון!A:G,6,)*B139,"")</f>
        <v/>
      </c>
    </row>
    <row r="140" spans="1:4" x14ac:dyDescent="0.25">
      <c r="A140" s="1"/>
      <c r="B140" s="1"/>
      <c r="C140" s="1" t="str">
        <f>IFERROR(VLOOKUP(A140,מחירון!A:F,5,),"")</f>
        <v/>
      </c>
      <c r="D140" s="18" t="str">
        <f>IFERROR(VLOOKUP(A140,מחירון!A:G,6,)*B140,"")</f>
        <v/>
      </c>
    </row>
    <row r="141" spans="1:4" x14ac:dyDescent="0.25">
      <c r="A141" s="1"/>
      <c r="B141" s="1"/>
      <c r="C141" s="1" t="str">
        <f>IFERROR(VLOOKUP(A141,מחירון!A:F,5,),"")</f>
        <v/>
      </c>
      <c r="D141" s="18" t="str">
        <f>IFERROR(VLOOKUP(A141,מחירון!A:G,6,)*B141,"")</f>
        <v/>
      </c>
    </row>
    <row r="142" spans="1:4" x14ac:dyDescent="0.25">
      <c r="A142" s="1"/>
      <c r="B142" s="1"/>
      <c r="C142" s="1" t="str">
        <f>IFERROR(VLOOKUP(A142,מחירון!A:F,5,),"")</f>
        <v/>
      </c>
      <c r="D142" s="18" t="str">
        <f>IFERROR(VLOOKUP(A142,מחירון!A:G,6,)*B142,"")</f>
        <v/>
      </c>
    </row>
    <row r="143" spans="1:4" x14ac:dyDescent="0.25">
      <c r="A143" s="1"/>
      <c r="B143" s="1"/>
      <c r="C143" s="1" t="str">
        <f>IFERROR(VLOOKUP(A143,מחירון!A:F,5,),"")</f>
        <v/>
      </c>
      <c r="D143" s="18" t="str">
        <f>IFERROR(VLOOKUP(A143,מחירון!A:G,6,)*B143,"")</f>
        <v/>
      </c>
    </row>
    <row r="144" spans="1:4" x14ac:dyDescent="0.25">
      <c r="A144" s="1"/>
      <c r="B144" s="1"/>
      <c r="C144" s="1" t="str">
        <f>IFERROR(VLOOKUP(A144,מחירון!A:F,5,),"")</f>
        <v/>
      </c>
      <c r="D144" s="18" t="str">
        <f>IFERROR(VLOOKUP(A144,מחירון!A:G,6,)*B144,"")</f>
        <v/>
      </c>
    </row>
    <row r="145" spans="1:4" x14ac:dyDescent="0.25">
      <c r="A145" s="1"/>
      <c r="B145" s="1"/>
      <c r="C145" s="1" t="str">
        <f>IFERROR(VLOOKUP(A145,מחירון!A:F,5,),"")</f>
        <v/>
      </c>
      <c r="D145" s="18" t="str">
        <f>IFERROR(VLOOKUP(A145,מחירון!A:G,6,)*B145,"")</f>
        <v/>
      </c>
    </row>
    <row r="146" spans="1:4" x14ac:dyDescent="0.25">
      <c r="A146" s="1"/>
      <c r="B146" s="1"/>
      <c r="C146" s="1" t="str">
        <f>IFERROR(VLOOKUP(A146,מחירון!A:F,5,),"")</f>
        <v/>
      </c>
      <c r="D146" s="18" t="str">
        <f>IFERROR(VLOOKUP(A146,מחירון!A:G,6,)*B146,"")</f>
        <v/>
      </c>
    </row>
    <row r="147" spans="1:4" x14ac:dyDescent="0.25">
      <c r="A147" s="1"/>
      <c r="B147" s="1"/>
      <c r="C147" s="1" t="str">
        <f>IFERROR(VLOOKUP(A147,מחירון!A:F,5,),"")</f>
        <v/>
      </c>
      <c r="D147" s="18" t="str">
        <f>IFERROR(VLOOKUP(A147,מחירון!A:G,6,)*B147,"")</f>
        <v/>
      </c>
    </row>
    <row r="148" spans="1:4" x14ac:dyDescent="0.25">
      <c r="A148" s="1"/>
      <c r="B148" s="1"/>
      <c r="C148" s="1" t="str">
        <f>IFERROR(VLOOKUP(A148,מחירון!A:F,5,),"")</f>
        <v/>
      </c>
      <c r="D148" s="18" t="str">
        <f>IFERROR(VLOOKUP(A148,מחירון!A:G,6,)*B148,"")</f>
        <v/>
      </c>
    </row>
    <row r="149" spans="1:4" x14ac:dyDescent="0.25">
      <c r="A149" s="1"/>
      <c r="B149" s="1"/>
      <c r="C149" s="1" t="str">
        <f>IFERROR(VLOOKUP(A149,מחירון!A:F,5,),"")</f>
        <v/>
      </c>
      <c r="D149" s="18" t="str">
        <f>IFERROR(VLOOKUP(A149,מחירון!A:G,6,)*B149,"")</f>
        <v/>
      </c>
    </row>
    <row r="150" spans="1:4" x14ac:dyDescent="0.25">
      <c r="A150" s="1"/>
      <c r="B150" s="1"/>
      <c r="C150" s="1" t="str">
        <f>IFERROR(VLOOKUP(A150,מחירון!A:F,5,),"")</f>
        <v/>
      </c>
      <c r="D150" s="18" t="str">
        <f>IFERROR(VLOOKUP(A150,מחירון!A:G,6,)*B150,"")</f>
        <v/>
      </c>
    </row>
    <row r="151" spans="1:4" x14ac:dyDescent="0.25">
      <c r="A151" s="1"/>
      <c r="B151" s="1"/>
      <c r="C151" s="1" t="str">
        <f>IFERROR(VLOOKUP(A151,מחירון!A:F,5,),"")</f>
        <v/>
      </c>
      <c r="D151" s="18" t="str">
        <f>IFERROR(VLOOKUP(A151,מחירון!A:G,6,)*B151,"")</f>
        <v/>
      </c>
    </row>
    <row r="152" spans="1:4" x14ac:dyDescent="0.25">
      <c r="A152" s="1"/>
      <c r="B152" s="1"/>
      <c r="C152" s="1" t="str">
        <f>IFERROR(VLOOKUP(A152,מחירון!A:F,5,),"")</f>
        <v/>
      </c>
      <c r="D152" s="18" t="str">
        <f>IFERROR(VLOOKUP(A152,מחירון!A:G,6,)*B152,"")</f>
        <v/>
      </c>
    </row>
    <row r="153" spans="1:4" x14ac:dyDescent="0.25">
      <c r="A153" s="1"/>
      <c r="B153" s="1"/>
      <c r="C153" s="1" t="str">
        <f>IFERROR(VLOOKUP(A153,מחירון!A:F,5,),"")</f>
        <v/>
      </c>
      <c r="D153" s="18" t="str">
        <f>IFERROR(VLOOKUP(A153,מחירון!A:G,6,)*B153,"")</f>
        <v/>
      </c>
    </row>
    <row r="154" spans="1:4" x14ac:dyDescent="0.25">
      <c r="A154" s="1"/>
      <c r="B154" s="1"/>
      <c r="C154" s="1" t="str">
        <f>IFERROR(VLOOKUP(A154,מחירון!A:F,5,),"")</f>
        <v/>
      </c>
      <c r="D154" s="18" t="str">
        <f>IFERROR(VLOOKUP(A154,מחירון!A:G,6,)*B154,"")</f>
        <v/>
      </c>
    </row>
    <row r="155" spans="1:4" x14ac:dyDescent="0.25">
      <c r="A155" s="1"/>
      <c r="B155" s="1"/>
      <c r="C155" s="1" t="str">
        <f>IFERROR(VLOOKUP(A155,מחירון!A:F,5,),"")</f>
        <v/>
      </c>
      <c r="D155" s="18" t="str">
        <f>IFERROR(VLOOKUP(A155,מחירון!A:G,6,)*B155,"")</f>
        <v/>
      </c>
    </row>
    <row r="156" spans="1:4" x14ac:dyDescent="0.25">
      <c r="A156" s="1"/>
      <c r="B156" s="1"/>
      <c r="C156" s="1" t="str">
        <f>IFERROR(VLOOKUP(A156,מחירון!A:F,5,),"")</f>
        <v/>
      </c>
      <c r="D156" s="18" t="str">
        <f>IFERROR(VLOOKUP(A156,מחירון!A:G,6,)*B156,"")</f>
        <v/>
      </c>
    </row>
    <row r="157" spans="1:4" x14ac:dyDescent="0.25">
      <c r="A157" s="1"/>
      <c r="B157" s="1"/>
      <c r="C157" s="1" t="str">
        <f>IFERROR(VLOOKUP(A157,מחירון!A:F,5,),"")</f>
        <v/>
      </c>
      <c r="D157" s="18" t="str">
        <f>IFERROR(VLOOKUP(A157,מחירון!A:G,6,)*B157,"")</f>
        <v/>
      </c>
    </row>
    <row r="158" spans="1:4" x14ac:dyDescent="0.25">
      <c r="A158" s="1"/>
      <c r="B158" s="1"/>
      <c r="C158" s="1" t="str">
        <f>IFERROR(VLOOKUP(A158,מחירון!A:F,5,),"")</f>
        <v/>
      </c>
      <c r="D158" s="18" t="str">
        <f>IFERROR(VLOOKUP(A158,מחירון!A:G,6,)*B158,"")</f>
        <v/>
      </c>
    </row>
    <row r="159" spans="1:4" x14ac:dyDescent="0.25">
      <c r="A159" s="1"/>
      <c r="B159" s="1"/>
      <c r="C159" s="1" t="str">
        <f>IFERROR(VLOOKUP(A159,מחירון!A:F,5,),"")</f>
        <v/>
      </c>
      <c r="D159" s="18" t="str">
        <f>IFERROR(VLOOKUP(A159,מחירון!A:G,6,)*B159,"")</f>
        <v/>
      </c>
    </row>
    <row r="160" spans="1:4" x14ac:dyDescent="0.25">
      <c r="A160" s="1"/>
      <c r="B160" s="1"/>
      <c r="C160" s="1" t="str">
        <f>IFERROR(VLOOKUP(A160,מחירון!A:F,5,),"")</f>
        <v/>
      </c>
      <c r="D160" s="18" t="str">
        <f>IFERROR(VLOOKUP(A160,מחירון!A:G,6,)*B160,"")</f>
        <v/>
      </c>
    </row>
    <row r="161" spans="1:4" x14ac:dyDescent="0.25">
      <c r="A161" s="1"/>
      <c r="B161" s="1"/>
      <c r="C161" s="1" t="str">
        <f>IFERROR(VLOOKUP(A161,מחירון!A:F,5,),"")</f>
        <v/>
      </c>
      <c r="D161" s="18" t="str">
        <f>IFERROR(VLOOKUP(A161,מחירון!A:G,6,)*B161,"")</f>
        <v/>
      </c>
    </row>
    <row r="162" spans="1:4" x14ac:dyDescent="0.25">
      <c r="A162" s="1"/>
      <c r="B162" s="1"/>
      <c r="C162" s="1" t="str">
        <f>IFERROR(VLOOKUP(A162,מחירון!A:F,5,),"")</f>
        <v/>
      </c>
      <c r="D162" s="18" t="str">
        <f>IFERROR(VLOOKUP(A162,מחירון!A:G,6,)*B162,"")</f>
        <v/>
      </c>
    </row>
    <row r="163" spans="1:4" x14ac:dyDescent="0.25">
      <c r="A163" s="1"/>
      <c r="B163" s="1"/>
      <c r="C163" s="1" t="str">
        <f>IFERROR(VLOOKUP(A163,מחירון!A:F,5,),"")</f>
        <v/>
      </c>
      <c r="D163" s="18" t="str">
        <f>IFERROR(VLOOKUP(A163,מחירון!A:G,6,)*B163,"")</f>
        <v/>
      </c>
    </row>
    <row r="164" spans="1:4" x14ac:dyDescent="0.25">
      <c r="A164" s="1"/>
      <c r="B164" s="1"/>
      <c r="C164" s="1" t="str">
        <f>IFERROR(VLOOKUP(A164,מחירון!A:F,5,),"")</f>
        <v/>
      </c>
      <c r="D164" s="18" t="str">
        <f>IFERROR(VLOOKUP(A164,מחירון!A:G,6,)*B164,"")</f>
        <v/>
      </c>
    </row>
    <row r="165" spans="1:4" x14ac:dyDescent="0.25">
      <c r="A165" s="1"/>
      <c r="B165" s="1"/>
      <c r="C165" s="1" t="str">
        <f>IFERROR(VLOOKUP(A165,מחירון!A:F,5,),"")</f>
        <v/>
      </c>
      <c r="D165" s="18" t="str">
        <f>IFERROR(VLOOKUP(A165,מחירון!A:G,6,)*B165,"")</f>
        <v/>
      </c>
    </row>
    <row r="166" spans="1:4" x14ac:dyDescent="0.25">
      <c r="A166" s="1"/>
      <c r="B166" s="1"/>
      <c r="C166" s="1" t="str">
        <f>IFERROR(VLOOKUP(A166,מחירון!A:F,5,),"")</f>
        <v/>
      </c>
      <c r="D166" s="18" t="str">
        <f>IFERROR(VLOOKUP(A166,מחירון!A:G,6,)*B166,"")</f>
        <v/>
      </c>
    </row>
    <row r="167" spans="1:4" x14ac:dyDescent="0.25">
      <c r="A167" s="1"/>
      <c r="B167" s="1"/>
      <c r="C167" s="1" t="str">
        <f>IFERROR(VLOOKUP(A167,מחירון!A:F,5,),"")</f>
        <v/>
      </c>
      <c r="D167" s="18" t="str">
        <f>IFERROR(VLOOKUP(A167,מחירון!A:G,6,)*B167,"")</f>
        <v/>
      </c>
    </row>
    <row r="168" spans="1:4" x14ac:dyDescent="0.25">
      <c r="A168" s="1"/>
      <c r="B168" s="1"/>
      <c r="C168" s="1" t="str">
        <f>IFERROR(VLOOKUP(A168,מחירון!A:F,5,),"")</f>
        <v/>
      </c>
      <c r="D168" s="18" t="str">
        <f>IFERROR(VLOOKUP(A168,מחירון!A:G,6,)*B168,"")</f>
        <v/>
      </c>
    </row>
    <row r="169" spans="1:4" x14ac:dyDescent="0.25">
      <c r="A169" s="1"/>
      <c r="B169" s="1"/>
      <c r="C169" s="1" t="str">
        <f>IFERROR(VLOOKUP(A169,מחירון!A:F,5,),"")</f>
        <v/>
      </c>
      <c r="D169" s="18" t="str">
        <f>IFERROR(VLOOKUP(A169,מחירון!A:G,6,)*B169,"")</f>
        <v/>
      </c>
    </row>
    <row r="170" spans="1:4" x14ac:dyDescent="0.25">
      <c r="A170" s="1"/>
      <c r="B170" s="1"/>
      <c r="C170" s="1" t="str">
        <f>IFERROR(VLOOKUP(A170,מחירון!A:F,5,),"")</f>
        <v/>
      </c>
      <c r="D170" s="18" t="str">
        <f>IFERROR(VLOOKUP(A170,מחירון!A:G,6,)*B170,"")</f>
        <v/>
      </c>
    </row>
    <row r="171" spans="1:4" x14ac:dyDescent="0.25">
      <c r="A171" s="1"/>
      <c r="B171" s="1"/>
      <c r="C171" s="1" t="str">
        <f>IFERROR(VLOOKUP(A171,מחירון!A:F,5,),"")</f>
        <v/>
      </c>
      <c r="D171" s="18" t="str">
        <f>IFERROR(VLOOKUP(A171,מחירון!A:G,6,)*B171,"")</f>
        <v/>
      </c>
    </row>
    <row r="172" spans="1:4" x14ac:dyDescent="0.25">
      <c r="A172" s="1"/>
      <c r="B172" s="1"/>
      <c r="C172" s="1" t="str">
        <f>IFERROR(VLOOKUP(A172,מחירון!A:F,5,),"")</f>
        <v/>
      </c>
      <c r="D172" s="18" t="str">
        <f>IFERROR(VLOOKUP(A172,מחירון!A:G,6,)*B172,"")</f>
        <v/>
      </c>
    </row>
    <row r="173" spans="1:4" x14ac:dyDescent="0.25">
      <c r="A173" s="1"/>
      <c r="B173" s="1"/>
      <c r="C173" s="1" t="str">
        <f>IFERROR(VLOOKUP(A173,מחירון!A:F,5,),"")</f>
        <v/>
      </c>
      <c r="D173" s="18" t="str">
        <f>IFERROR(VLOOKUP(A173,מחירון!A:G,6,)*B173,"")</f>
        <v/>
      </c>
    </row>
    <row r="174" spans="1:4" x14ac:dyDescent="0.25">
      <c r="A174" s="1"/>
      <c r="B174" s="1"/>
      <c r="C174" s="1" t="str">
        <f>IFERROR(VLOOKUP(A174,מחירון!A:F,5,),"")</f>
        <v/>
      </c>
      <c r="D174" s="18" t="str">
        <f>IFERROR(VLOOKUP(A174,מחירון!A:G,6,)*B174,"")</f>
        <v/>
      </c>
    </row>
    <row r="175" spans="1:4" x14ac:dyDescent="0.25">
      <c r="A175" s="1"/>
      <c r="B175" s="1"/>
      <c r="C175" s="1" t="str">
        <f>IFERROR(VLOOKUP(A175,מחירון!A:F,5,),"")</f>
        <v/>
      </c>
      <c r="D175" s="18" t="str">
        <f>IFERROR(VLOOKUP(A175,מחירון!A:G,6,)*B175,"")</f>
        <v/>
      </c>
    </row>
    <row r="176" spans="1:4" x14ac:dyDescent="0.25">
      <c r="A176" s="1"/>
      <c r="B176" s="1"/>
      <c r="C176" s="1" t="str">
        <f>IFERROR(VLOOKUP(A176,מחירון!A:F,5,),"")</f>
        <v/>
      </c>
      <c r="D176" s="18" t="str">
        <f>IFERROR(VLOOKUP(A176,מחירון!A:G,6,)*B176,"")</f>
        <v/>
      </c>
    </row>
    <row r="177" spans="1:4" x14ac:dyDescent="0.25">
      <c r="A177" s="1"/>
      <c r="B177" s="1"/>
      <c r="C177" s="1" t="str">
        <f>IFERROR(VLOOKUP(A177,מחירון!A:F,5,),"")</f>
        <v/>
      </c>
      <c r="D177" s="18" t="str">
        <f>IFERROR(VLOOKUP(A177,מחירון!A:G,6,)*B177,"")</f>
        <v/>
      </c>
    </row>
    <row r="178" spans="1:4" x14ac:dyDescent="0.25">
      <c r="A178" s="1"/>
      <c r="B178" s="1"/>
      <c r="C178" s="1" t="str">
        <f>IFERROR(VLOOKUP(A178,מחירון!A:F,5,),"")</f>
        <v/>
      </c>
      <c r="D178" s="18" t="str">
        <f>IFERROR(VLOOKUP(A178,מחירון!A:G,6,)*B178,"")</f>
        <v/>
      </c>
    </row>
    <row r="179" spans="1:4" x14ac:dyDescent="0.25">
      <c r="A179" s="1"/>
      <c r="B179" s="1"/>
      <c r="C179" s="1" t="str">
        <f>IFERROR(VLOOKUP(A179,מחירון!A:F,5,),"")</f>
        <v/>
      </c>
      <c r="D179" s="18" t="str">
        <f>IFERROR(VLOOKUP(A179,מחירון!A:G,6,)*B179,"")</f>
        <v/>
      </c>
    </row>
    <row r="180" spans="1:4" x14ac:dyDescent="0.25">
      <c r="A180" s="1"/>
      <c r="B180" s="1"/>
      <c r="C180" s="1" t="str">
        <f>IFERROR(VLOOKUP(A180,מחירון!A:F,5,),"")</f>
        <v/>
      </c>
      <c r="D180" s="18" t="str">
        <f>IFERROR(VLOOKUP(A180,מחירון!A:G,6,)*B180,"")</f>
        <v/>
      </c>
    </row>
    <row r="181" spans="1:4" x14ac:dyDescent="0.25">
      <c r="A181" s="1"/>
      <c r="B181" s="1"/>
      <c r="C181" s="1" t="str">
        <f>IFERROR(VLOOKUP(A181,מחירון!A:F,5,),"")</f>
        <v/>
      </c>
      <c r="D181" s="18" t="str">
        <f>IFERROR(VLOOKUP(A181,מחירון!A:G,6,)*B181,"")</f>
        <v/>
      </c>
    </row>
    <row r="182" spans="1:4" x14ac:dyDescent="0.25">
      <c r="A182" s="1"/>
      <c r="B182" s="1"/>
      <c r="C182" s="1" t="str">
        <f>IFERROR(VLOOKUP(A182,מחירון!A:F,5,),"")</f>
        <v/>
      </c>
      <c r="D182" s="18" t="str">
        <f>IFERROR(VLOOKUP(A182,מחירון!A:G,6,)*B182,"")</f>
        <v/>
      </c>
    </row>
    <row r="183" spans="1:4" x14ac:dyDescent="0.25">
      <c r="A183" s="1"/>
      <c r="B183" s="1"/>
      <c r="C183" s="1" t="str">
        <f>IFERROR(VLOOKUP(A183,מחירון!A:F,5,),"")</f>
        <v/>
      </c>
      <c r="D183" s="18" t="str">
        <f>IFERROR(VLOOKUP(A183,מחירון!A:G,6,)*B183,"")</f>
        <v/>
      </c>
    </row>
    <row r="184" spans="1:4" x14ac:dyDescent="0.25">
      <c r="A184" s="1"/>
      <c r="B184" s="1"/>
      <c r="C184" s="1" t="str">
        <f>IFERROR(VLOOKUP(A184,מחירון!A:F,5,),"")</f>
        <v/>
      </c>
      <c r="D184" s="18" t="str">
        <f>IFERROR(VLOOKUP(A184,מחירון!A:G,6,)*B184,"")</f>
        <v/>
      </c>
    </row>
    <row r="185" spans="1:4" x14ac:dyDescent="0.25">
      <c r="A185" s="1"/>
      <c r="B185" s="1"/>
      <c r="C185" s="1" t="str">
        <f>IFERROR(VLOOKUP(A185,מחירון!A:F,5,),"")</f>
        <v/>
      </c>
      <c r="D185" s="18" t="str">
        <f>IFERROR(VLOOKUP(A185,מחירון!A:G,6,)*B185,"")</f>
        <v/>
      </c>
    </row>
    <row r="186" spans="1:4" x14ac:dyDescent="0.25">
      <c r="A186" s="1"/>
      <c r="B186" s="1"/>
      <c r="C186" s="1" t="str">
        <f>IFERROR(VLOOKUP(A186,מחירון!A:F,5,),"")</f>
        <v/>
      </c>
      <c r="D186" s="18" t="str">
        <f>IFERROR(VLOOKUP(A186,מחירון!A:G,6,)*B186,"")</f>
        <v/>
      </c>
    </row>
    <row r="187" spans="1:4" x14ac:dyDescent="0.25">
      <c r="A187" s="1"/>
      <c r="B187" s="1"/>
      <c r="C187" s="1" t="str">
        <f>IFERROR(VLOOKUP(A187,מחירון!A:F,5,),"")</f>
        <v/>
      </c>
      <c r="D187" s="18" t="str">
        <f>IFERROR(VLOOKUP(A187,מחירון!A:G,6,)*B187,"")</f>
        <v/>
      </c>
    </row>
    <row r="188" spans="1:4" x14ac:dyDescent="0.25">
      <c r="A188" s="1"/>
      <c r="B188" s="1"/>
      <c r="C188" s="1" t="str">
        <f>IFERROR(VLOOKUP(A188,מחירון!A:F,5,),"")</f>
        <v/>
      </c>
      <c r="D188" s="18" t="str">
        <f>IFERROR(VLOOKUP(A188,מחירון!A:G,6,)*B188,"")</f>
        <v/>
      </c>
    </row>
    <row r="189" spans="1:4" x14ac:dyDescent="0.25">
      <c r="A189" s="1"/>
      <c r="B189" s="1"/>
      <c r="C189" s="1" t="str">
        <f>IFERROR(VLOOKUP(A189,מחירון!A:F,5,),"")</f>
        <v/>
      </c>
      <c r="D189" s="18" t="str">
        <f>IFERROR(VLOOKUP(A189,מחירון!A:G,6,)*B189,"")</f>
        <v/>
      </c>
    </row>
    <row r="190" spans="1:4" x14ac:dyDescent="0.25">
      <c r="A190" s="1"/>
      <c r="B190" s="1"/>
      <c r="C190" s="1" t="str">
        <f>IFERROR(VLOOKUP(A190,מחירון!A:F,5,),"")</f>
        <v/>
      </c>
      <c r="D190" s="18" t="str">
        <f>IFERROR(VLOOKUP(A190,מחירון!A:G,6,)*B190,"")</f>
        <v/>
      </c>
    </row>
    <row r="191" spans="1:4" x14ac:dyDescent="0.25">
      <c r="A191" s="1"/>
      <c r="B191" s="1"/>
      <c r="C191" s="1" t="str">
        <f>IFERROR(VLOOKUP(A191,מחירון!A:F,5,),"")</f>
        <v/>
      </c>
      <c r="D191" s="18" t="str">
        <f>IFERROR(VLOOKUP(A191,מחירון!A:G,6,)*B191,"")</f>
        <v/>
      </c>
    </row>
    <row r="192" spans="1:4" x14ac:dyDescent="0.25">
      <c r="A192" s="1"/>
      <c r="B192" s="1"/>
      <c r="C192" s="1" t="str">
        <f>IFERROR(VLOOKUP(A192,מחירון!A:F,5,),"")</f>
        <v/>
      </c>
      <c r="D192" s="18" t="str">
        <f>IFERROR(VLOOKUP(A192,מחירון!A:G,6,)*B192,"")</f>
        <v/>
      </c>
    </row>
    <row r="193" spans="1:4" x14ac:dyDescent="0.25">
      <c r="A193" s="1"/>
      <c r="B193" s="1"/>
      <c r="C193" s="1" t="str">
        <f>IFERROR(VLOOKUP(A193,מחירון!A:F,5,),"")</f>
        <v/>
      </c>
      <c r="D193" s="18" t="str">
        <f>IFERROR(VLOOKUP(A193,מחירון!A:G,6,)*B193,"")</f>
        <v/>
      </c>
    </row>
    <row r="194" spans="1:4" x14ac:dyDescent="0.25">
      <c r="A194" s="1"/>
      <c r="B194" s="1"/>
      <c r="C194" s="1" t="str">
        <f>IFERROR(VLOOKUP(A194,מחירון!A:F,5,),"")</f>
        <v/>
      </c>
      <c r="D194" s="18" t="str">
        <f>IFERROR(VLOOKUP(A194,מחירון!A:G,6,)*B194,"")</f>
        <v/>
      </c>
    </row>
    <row r="195" spans="1:4" x14ac:dyDescent="0.25">
      <c r="A195" s="1"/>
      <c r="B195" s="1"/>
      <c r="C195" s="1" t="str">
        <f>IFERROR(VLOOKUP(A195,מחירון!A:F,5,),"")</f>
        <v/>
      </c>
      <c r="D195" s="18" t="str">
        <f>IFERROR(VLOOKUP(A195,מחירון!A:G,6,)*B195,"")</f>
        <v/>
      </c>
    </row>
    <row r="196" spans="1:4" x14ac:dyDescent="0.25">
      <c r="A196" s="1"/>
      <c r="B196" s="1"/>
      <c r="C196" s="1" t="str">
        <f>IFERROR(VLOOKUP(A196,מחירון!A:F,5,),"")</f>
        <v/>
      </c>
      <c r="D196" s="18" t="str">
        <f>IFERROR(VLOOKUP(A196,מחירון!A:G,6,)*B196,"")</f>
        <v/>
      </c>
    </row>
    <row r="197" spans="1:4" x14ac:dyDescent="0.25">
      <c r="A197" s="1"/>
      <c r="B197" s="1"/>
      <c r="C197" s="1" t="str">
        <f>IFERROR(VLOOKUP(A197,מחירון!A:F,5,),"")</f>
        <v/>
      </c>
      <c r="D197" s="18" t="str">
        <f>IFERROR(VLOOKUP(A197,מחירון!A:G,6,)*B197,"")</f>
        <v/>
      </c>
    </row>
    <row r="198" spans="1:4" x14ac:dyDescent="0.25">
      <c r="A198" s="1"/>
      <c r="B198" s="1"/>
      <c r="C198" s="1" t="str">
        <f>IFERROR(VLOOKUP(A198,מחירון!A:F,5,),"")</f>
        <v/>
      </c>
      <c r="D198" s="18" t="str">
        <f>IFERROR(VLOOKUP(A198,מחירון!A:G,6,)*B198,"")</f>
        <v/>
      </c>
    </row>
    <row r="199" spans="1:4" x14ac:dyDescent="0.25">
      <c r="A199" s="1"/>
      <c r="B199" s="1"/>
      <c r="C199" s="1" t="str">
        <f>IFERROR(VLOOKUP(A199,מחירון!A:F,5,),"")</f>
        <v/>
      </c>
      <c r="D199" s="18" t="str">
        <f>IFERROR(VLOOKUP(A199,מחירון!A:G,6,)*B199,"")</f>
        <v/>
      </c>
    </row>
    <row r="200" spans="1:4" x14ac:dyDescent="0.25">
      <c r="A200" s="1"/>
      <c r="B200" s="1"/>
      <c r="C200" s="1" t="str">
        <f>IFERROR(VLOOKUP(A200,מחירון!A:F,5,),"")</f>
        <v/>
      </c>
      <c r="D200" s="18" t="str">
        <f>IFERROR(VLOOKUP(A200,מחירון!A:G,6,)*B200,"")</f>
        <v/>
      </c>
    </row>
    <row r="201" spans="1:4" x14ac:dyDescent="0.25">
      <c r="A201" s="1"/>
      <c r="B201" s="1"/>
      <c r="C201" s="1" t="str">
        <f>IFERROR(VLOOKUP(A201,מחירון!A:F,5,),"")</f>
        <v/>
      </c>
      <c r="D201" s="18" t="str">
        <f>IFERROR(VLOOKUP(A201,מחירון!A:G,6,)*B201,"")</f>
        <v/>
      </c>
    </row>
    <row r="202" spans="1:4" x14ac:dyDescent="0.25">
      <c r="A202" s="1"/>
      <c r="B202" s="1"/>
      <c r="C202" s="1" t="str">
        <f>IFERROR(VLOOKUP(A202,מחירון!A:F,5,),"")</f>
        <v/>
      </c>
      <c r="D202" s="18" t="str">
        <f>IFERROR(VLOOKUP(A202,מחירון!A:G,6,)*B202,"")</f>
        <v/>
      </c>
    </row>
    <row r="203" spans="1:4" x14ac:dyDescent="0.25">
      <c r="A203" s="1"/>
      <c r="B203" s="1"/>
      <c r="C203" s="1" t="str">
        <f>IFERROR(VLOOKUP(A203,מחירון!A:F,5,),"")</f>
        <v/>
      </c>
      <c r="D203" s="18" t="str">
        <f>IFERROR(VLOOKUP(A203,מחירון!A:G,6,)*B203,"")</f>
        <v/>
      </c>
    </row>
    <row r="204" spans="1:4" x14ac:dyDescent="0.25">
      <c r="A204" s="1"/>
      <c r="B204" s="1"/>
      <c r="C204" s="1" t="str">
        <f>IFERROR(VLOOKUP(A204,מחירון!A:F,5,),"")</f>
        <v/>
      </c>
      <c r="D204" s="18" t="str">
        <f>IFERROR(VLOOKUP(A204,מחירון!A:G,6,)*B204,"")</f>
        <v/>
      </c>
    </row>
    <row r="205" spans="1:4" x14ac:dyDescent="0.25">
      <c r="A205" s="1"/>
      <c r="B205" s="1"/>
      <c r="C205" s="1" t="str">
        <f>IFERROR(VLOOKUP(A205,מחירון!A:F,5,),"")</f>
        <v/>
      </c>
      <c r="D205" s="18" t="str">
        <f>IFERROR(VLOOKUP(A205,מחירון!A:G,6,)*B205,"")</f>
        <v/>
      </c>
    </row>
    <row r="206" spans="1:4" x14ac:dyDescent="0.25">
      <c r="A206" s="1"/>
      <c r="B206" s="1"/>
      <c r="C206" s="1" t="str">
        <f>IFERROR(VLOOKUP(A206,מחירון!A:F,5,),"")</f>
        <v/>
      </c>
      <c r="D206" s="18" t="str">
        <f>IFERROR(VLOOKUP(A206,מחירון!A:G,6,)*B206,"")</f>
        <v/>
      </c>
    </row>
    <row r="207" spans="1:4" x14ac:dyDescent="0.25">
      <c r="A207" s="1"/>
      <c r="B207" s="1"/>
      <c r="C207" s="1" t="str">
        <f>IFERROR(VLOOKUP(A207,מחירון!A:F,5,),"")</f>
        <v/>
      </c>
      <c r="D207" s="18" t="str">
        <f>IFERROR(VLOOKUP(A207,מחירון!A:G,6,)*B207,"")</f>
        <v/>
      </c>
    </row>
    <row r="208" spans="1:4" x14ac:dyDescent="0.25">
      <c r="A208" s="1"/>
      <c r="B208" s="1"/>
      <c r="C208" s="1" t="str">
        <f>IFERROR(VLOOKUP(A208,מחירון!A:F,5,),"")</f>
        <v/>
      </c>
      <c r="D208" s="18" t="str">
        <f>IFERROR(VLOOKUP(A208,מחירון!A:G,6,)*B208,"")</f>
        <v/>
      </c>
    </row>
    <row r="209" spans="1:4" x14ac:dyDescent="0.25">
      <c r="A209" s="1"/>
      <c r="B209" s="1"/>
      <c r="C209" s="1" t="str">
        <f>IFERROR(VLOOKUP(A209,מחירון!A:F,5,),"")</f>
        <v/>
      </c>
      <c r="D209" s="18" t="str">
        <f>IFERROR(VLOOKUP(A209,מחירון!A:G,6,)*B209,"")</f>
        <v/>
      </c>
    </row>
    <row r="210" spans="1:4" x14ac:dyDescent="0.25">
      <c r="A210" s="1"/>
      <c r="B210" s="1"/>
      <c r="C210" s="1" t="str">
        <f>IFERROR(VLOOKUP(A210,מחירון!A:F,5,),"")</f>
        <v/>
      </c>
      <c r="D210" s="18" t="str">
        <f>IFERROR(VLOOKUP(A210,מחירון!A:G,6,)*B210,"")</f>
        <v/>
      </c>
    </row>
    <row r="211" spans="1:4" x14ac:dyDescent="0.25">
      <c r="A211" s="1"/>
      <c r="B211" s="1"/>
      <c r="C211" s="1" t="str">
        <f>IFERROR(VLOOKUP(A211,מחירון!A:F,5,),"")</f>
        <v/>
      </c>
      <c r="D211" s="18" t="str">
        <f>IFERROR(VLOOKUP(A211,מחירון!A:G,6,)*B211,"")</f>
        <v/>
      </c>
    </row>
    <row r="212" spans="1:4" x14ac:dyDescent="0.25">
      <c r="A212" s="1"/>
      <c r="B212" s="1"/>
      <c r="C212" s="1" t="str">
        <f>IFERROR(VLOOKUP(A212,מחירון!A:F,5,),"")</f>
        <v/>
      </c>
      <c r="D212" s="18" t="str">
        <f>IFERROR(VLOOKUP(A212,מחירון!A:G,6,)*B212,"")</f>
        <v/>
      </c>
    </row>
    <row r="213" spans="1:4" x14ac:dyDescent="0.25">
      <c r="A213" s="1"/>
      <c r="B213" s="1"/>
      <c r="C213" s="1" t="str">
        <f>IFERROR(VLOOKUP(A213,מחירון!A:F,5,),"")</f>
        <v/>
      </c>
      <c r="D213" s="18" t="str">
        <f>IFERROR(VLOOKUP(A213,מחירון!A:G,6,)*B213,"")</f>
        <v/>
      </c>
    </row>
    <row r="214" spans="1:4" x14ac:dyDescent="0.25">
      <c r="A214" s="1"/>
      <c r="B214" s="1"/>
      <c r="C214" s="1" t="str">
        <f>IFERROR(VLOOKUP(A214,מחירון!A:F,5,),"")</f>
        <v/>
      </c>
      <c r="D214" s="18" t="str">
        <f>IFERROR(VLOOKUP(A214,מחירון!A:G,6,)*B214,"")</f>
        <v/>
      </c>
    </row>
    <row r="215" spans="1:4" x14ac:dyDescent="0.25">
      <c r="A215" s="1"/>
      <c r="B215" s="1"/>
      <c r="C215" s="1" t="str">
        <f>IFERROR(VLOOKUP(A215,מחירון!A:F,5,),"")</f>
        <v/>
      </c>
      <c r="D215" s="18" t="str">
        <f>IFERROR(VLOOKUP(A215,מחירון!A:G,6,)*B215,"")</f>
        <v/>
      </c>
    </row>
    <row r="216" spans="1:4" x14ac:dyDescent="0.25">
      <c r="A216" s="1"/>
      <c r="B216" s="1"/>
      <c r="C216" s="1" t="str">
        <f>IFERROR(VLOOKUP(A216,מחירון!A:F,5,),"")</f>
        <v/>
      </c>
      <c r="D216" s="18" t="str">
        <f>IFERROR(VLOOKUP(A216,מחירון!A:G,6,)*B216,"")</f>
        <v/>
      </c>
    </row>
    <row r="217" spans="1:4" x14ac:dyDescent="0.25">
      <c r="A217" s="1"/>
      <c r="B217" s="1"/>
      <c r="C217" s="1" t="str">
        <f>IFERROR(VLOOKUP(A217,מחירון!A:F,5,),"")</f>
        <v/>
      </c>
      <c r="D217" s="18" t="str">
        <f>IFERROR(VLOOKUP(A217,מחירון!A:G,6,)*B217,"")</f>
        <v/>
      </c>
    </row>
    <row r="218" spans="1:4" x14ac:dyDescent="0.25">
      <c r="A218" s="1"/>
      <c r="B218" s="1"/>
      <c r="C218" s="1" t="str">
        <f>IFERROR(VLOOKUP(A218,מחירון!A:F,5,),"")</f>
        <v/>
      </c>
      <c r="D218" s="18" t="str">
        <f>IFERROR(VLOOKUP(A218,מחירון!A:G,6,)*B218,"")</f>
        <v/>
      </c>
    </row>
    <row r="219" spans="1:4" x14ac:dyDescent="0.25">
      <c r="A219" s="1"/>
      <c r="B219" s="1"/>
      <c r="C219" s="1" t="str">
        <f>IFERROR(VLOOKUP(A219,מחירון!A:F,5,),"")</f>
        <v/>
      </c>
      <c r="D219" s="18" t="str">
        <f>IFERROR(VLOOKUP(A219,מחירון!A:G,6,)*B219,"")</f>
        <v/>
      </c>
    </row>
    <row r="220" spans="1:4" x14ac:dyDescent="0.25">
      <c r="A220" s="1"/>
      <c r="B220" s="1"/>
      <c r="C220" s="1" t="str">
        <f>IFERROR(VLOOKUP(A220,מחירון!A:F,5,),"")</f>
        <v/>
      </c>
      <c r="D220" s="18" t="str">
        <f>IFERROR(VLOOKUP(A220,מחירון!A:G,6,)*B220,"")</f>
        <v/>
      </c>
    </row>
    <row r="221" spans="1:4" x14ac:dyDescent="0.25">
      <c r="A221" s="1"/>
      <c r="B221" s="1"/>
      <c r="C221" s="1" t="str">
        <f>IFERROR(VLOOKUP(A221,מחירון!A:F,5,),"")</f>
        <v/>
      </c>
      <c r="D221" s="18" t="str">
        <f>IFERROR(VLOOKUP(A221,מחירון!A:G,6,)*B221,"")</f>
        <v/>
      </c>
    </row>
    <row r="222" spans="1:4" x14ac:dyDescent="0.25">
      <c r="A222" s="1"/>
      <c r="B222" s="1"/>
      <c r="C222" s="1" t="str">
        <f>IFERROR(VLOOKUP(A222,מחירון!A:F,5,),"")</f>
        <v/>
      </c>
      <c r="D222" s="18" t="str">
        <f>IFERROR(VLOOKUP(A222,מחירון!A:G,6,)*B222,"")</f>
        <v/>
      </c>
    </row>
    <row r="223" spans="1:4" x14ac:dyDescent="0.25">
      <c r="A223" s="1"/>
      <c r="B223" s="1"/>
      <c r="C223" s="1" t="str">
        <f>IFERROR(VLOOKUP(A223,מחירון!A:F,5,),"")</f>
        <v/>
      </c>
      <c r="D223" s="18" t="str">
        <f>IFERROR(VLOOKUP(A223,מחירון!A:G,6,)*B223,"")</f>
        <v/>
      </c>
    </row>
    <row r="224" spans="1:4" x14ac:dyDescent="0.25">
      <c r="A224" s="1"/>
      <c r="B224" s="1"/>
      <c r="C224" s="1" t="str">
        <f>IFERROR(VLOOKUP(A224,מחירון!A:F,5,),"")</f>
        <v/>
      </c>
      <c r="D224" s="18" t="str">
        <f>IFERROR(VLOOKUP(A224,מחירון!A:G,6,)*B224,"")</f>
        <v/>
      </c>
    </row>
    <row r="225" spans="1:4" x14ac:dyDescent="0.25">
      <c r="A225" s="1"/>
      <c r="B225" s="1"/>
      <c r="C225" s="1" t="str">
        <f>IFERROR(VLOOKUP(A225,מחירון!A:F,5,),"")</f>
        <v/>
      </c>
      <c r="D225" s="18" t="str">
        <f>IFERROR(VLOOKUP(A225,מחירון!A:G,6,)*B225,"")</f>
        <v/>
      </c>
    </row>
    <row r="226" spans="1:4" x14ac:dyDescent="0.25">
      <c r="A226" s="1"/>
      <c r="B226" s="1"/>
      <c r="C226" s="1" t="str">
        <f>IFERROR(VLOOKUP(A226,מחירון!A:F,5,),"")</f>
        <v/>
      </c>
      <c r="D226" s="18" t="str">
        <f>IFERROR(VLOOKUP(A226,מחירון!A:G,6,)*B226,"")</f>
        <v/>
      </c>
    </row>
    <row r="227" spans="1:4" x14ac:dyDescent="0.25">
      <c r="A227" s="1"/>
      <c r="B227" s="1"/>
      <c r="C227" s="1" t="str">
        <f>IFERROR(VLOOKUP(A227,מחירון!A:F,5,),"")</f>
        <v/>
      </c>
      <c r="D227" s="18" t="str">
        <f>IFERROR(VLOOKUP(A227,מחירון!A:G,6,)*B227,"")</f>
        <v/>
      </c>
    </row>
    <row r="228" spans="1:4" x14ac:dyDescent="0.25">
      <c r="A228" s="1"/>
      <c r="B228" s="1"/>
      <c r="C228" s="1" t="str">
        <f>IFERROR(VLOOKUP(A228,מחירון!A:F,5,),"")</f>
        <v/>
      </c>
      <c r="D228" s="18" t="str">
        <f>IFERROR(VLOOKUP(A228,מחירון!A:G,6,)*B228,"")</f>
        <v/>
      </c>
    </row>
    <row r="229" spans="1:4" x14ac:dyDescent="0.25">
      <c r="A229" s="1"/>
      <c r="B229" s="1"/>
      <c r="C229" s="1" t="str">
        <f>IFERROR(VLOOKUP(A229,מחירון!A:F,5,),"")</f>
        <v/>
      </c>
      <c r="D229" s="18" t="str">
        <f>IFERROR(VLOOKUP(A229,מחירון!A:G,6,)*B229,"")</f>
        <v/>
      </c>
    </row>
    <row r="230" spans="1:4" x14ac:dyDescent="0.25">
      <c r="A230" s="1"/>
      <c r="B230" s="1"/>
      <c r="C230" s="1" t="str">
        <f>IFERROR(VLOOKUP(A230,מחירון!A:F,5,),"")</f>
        <v/>
      </c>
      <c r="D230" s="18" t="str">
        <f>IFERROR(VLOOKUP(A230,מחירון!A:G,6,)*B230,"")</f>
        <v/>
      </c>
    </row>
    <row r="231" spans="1:4" x14ac:dyDescent="0.25">
      <c r="A231" s="1"/>
      <c r="B231" s="1"/>
      <c r="C231" s="1" t="str">
        <f>IFERROR(VLOOKUP(A231,מחירון!A:F,5,),"")</f>
        <v/>
      </c>
      <c r="D231" s="18" t="str">
        <f>IFERROR(VLOOKUP(A231,מחירון!A:G,6,)*B231,"")</f>
        <v/>
      </c>
    </row>
    <row r="232" spans="1:4" x14ac:dyDescent="0.25">
      <c r="A232" s="1"/>
      <c r="B232" s="1"/>
      <c r="C232" s="1" t="str">
        <f>IFERROR(VLOOKUP(A232,מחירון!A:F,5,),"")</f>
        <v/>
      </c>
      <c r="D232" s="18" t="str">
        <f>IFERROR(VLOOKUP(A232,מחירון!A:G,6,)*B232,"")</f>
        <v/>
      </c>
    </row>
    <row r="233" spans="1:4" x14ac:dyDescent="0.25">
      <c r="A233" s="1"/>
      <c r="B233" s="1"/>
      <c r="C233" s="1" t="str">
        <f>IFERROR(VLOOKUP(A233,מחירון!A:F,5,),"")</f>
        <v/>
      </c>
      <c r="D233" s="18" t="str">
        <f>IFERROR(VLOOKUP(A233,מחירון!A:G,6,)*B233,"")</f>
        <v/>
      </c>
    </row>
    <row r="234" spans="1:4" x14ac:dyDescent="0.25">
      <c r="A234" s="1"/>
      <c r="B234" s="1"/>
      <c r="C234" s="1" t="str">
        <f>IFERROR(VLOOKUP(A234,מחירון!A:F,5,),"")</f>
        <v/>
      </c>
      <c r="D234" s="18" t="str">
        <f>IFERROR(VLOOKUP(A234,מחירון!A:G,6,)*B234,"")</f>
        <v/>
      </c>
    </row>
    <row r="235" spans="1:4" x14ac:dyDescent="0.25">
      <c r="A235" s="1"/>
      <c r="B235" s="1"/>
      <c r="C235" s="1" t="str">
        <f>IFERROR(VLOOKUP(A235,מחירון!A:F,5,),"")</f>
        <v/>
      </c>
      <c r="D235" s="18" t="str">
        <f>IFERROR(VLOOKUP(A235,מחירון!A:G,6,)*B235,"")</f>
        <v/>
      </c>
    </row>
    <row r="236" spans="1:4" x14ac:dyDescent="0.25">
      <c r="A236" s="1"/>
      <c r="B236" s="1"/>
      <c r="C236" s="1" t="str">
        <f>IFERROR(VLOOKUP(A236,מחירון!A:F,5,),"")</f>
        <v/>
      </c>
      <c r="D236" s="18" t="str">
        <f>IFERROR(VLOOKUP(A236,מחירון!A:G,6,)*B236,"")</f>
        <v/>
      </c>
    </row>
    <row r="237" spans="1:4" x14ac:dyDescent="0.25">
      <c r="A237" s="1"/>
      <c r="B237" s="1"/>
      <c r="C237" s="1" t="str">
        <f>IFERROR(VLOOKUP(A237,מחירון!A:F,5,),"")</f>
        <v/>
      </c>
      <c r="D237" s="18" t="str">
        <f>IFERROR(VLOOKUP(A237,מחירון!A:G,6,)*B237,"")</f>
        <v/>
      </c>
    </row>
    <row r="238" spans="1:4" x14ac:dyDescent="0.25">
      <c r="A238" s="1"/>
      <c r="B238" s="1"/>
      <c r="C238" s="1" t="str">
        <f>IFERROR(VLOOKUP(A238,מחירון!A:F,5,),"")</f>
        <v/>
      </c>
      <c r="D238" s="18" t="str">
        <f>IFERROR(VLOOKUP(A238,מחירון!A:G,6,)*B238,"")</f>
        <v/>
      </c>
    </row>
    <row r="239" spans="1:4" x14ac:dyDescent="0.25">
      <c r="A239" s="1"/>
      <c r="B239" s="1"/>
      <c r="C239" s="1" t="str">
        <f>IFERROR(VLOOKUP(A239,מחירון!A:F,5,),"")</f>
        <v/>
      </c>
      <c r="D239" s="18" t="str">
        <f>IFERROR(VLOOKUP(A239,מחירון!A:G,6,)*B239,"")</f>
        <v/>
      </c>
    </row>
    <row r="240" spans="1:4" x14ac:dyDescent="0.25">
      <c r="A240" s="1"/>
      <c r="B240" s="1"/>
      <c r="C240" s="1" t="str">
        <f>IFERROR(VLOOKUP(A240,מחירון!A:F,5,),"")</f>
        <v/>
      </c>
      <c r="D240" s="18" t="str">
        <f>IFERROR(VLOOKUP(A240,מחירון!A:G,6,)*B240,"")</f>
        <v/>
      </c>
    </row>
    <row r="241" spans="1:4" x14ac:dyDescent="0.25">
      <c r="A241" s="1"/>
      <c r="B241" s="1"/>
      <c r="C241" s="1" t="str">
        <f>IFERROR(VLOOKUP(A241,מחירון!A:F,5,),"")</f>
        <v/>
      </c>
      <c r="D241" s="18" t="str">
        <f>IFERROR(VLOOKUP(A241,מחירון!A:G,6,)*B241,"")</f>
        <v/>
      </c>
    </row>
    <row r="242" spans="1:4" x14ac:dyDescent="0.25">
      <c r="A242" s="1"/>
      <c r="B242" s="1"/>
      <c r="C242" s="1" t="str">
        <f>IFERROR(VLOOKUP(A242,מחירון!A:F,5,),"")</f>
        <v/>
      </c>
      <c r="D242" s="18" t="str">
        <f>IFERROR(VLOOKUP(A242,מחירון!A:G,6,)*B242,"")</f>
        <v/>
      </c>
    </row>
    <row r="243" spans="1:4" x14ac:dyDescent="0.25">
      <c r="A243" s="1"/>
      <c r="B243" s="1"/>
      <c r="C243" s="1" t="str">
        <f>IFERROR(VLOOKUP(A243,מחירון!A:F,5,),"")</f>
        <v/>
      </c>
      <c r="D243" s="18" t="str">
        <f>IFERROR(VLOOKUP(A243,מחירון!A:G,6,)*B243,"")</f>
        <v/>
      </c>
    </row>
    <row r="244" spans="1:4" x14ac:dyDescent="0.25">
      <c r="A244" s="1"/>
      <c r="B244" s="1"/>
      <c r="C244" s="1" t="str">
        <f>IFERROR(VLOOKUP(A244,מחירון!A:F,5,),"")</f>
        <v/>
      </c>
      <c r="D244" s="18" t="str">
        <f>IFERROR(VLOOKUP(A244,מחירון!A:G,6,)*B244,"")</f>
        <v/>
      </c>
    </row>
    <row r="245" spans="1:4" x14ac:dyDescent="0.25">
      <c r="A245" s="1"/>
      <c r="B245" s="1"/>
      <c r="C245" s="1" t="str">
        <f>IFERROR(VLOOKUP(A245,מחירון!A:F,5,),"")</f>
        <v/>
      </c>
      <c r="D245" s="18" t="str">
        <f>IFERROR(VLOOKUP(A245,מחירון!A:G,6,)*B245,"")</f>
        <v/>
      </c>
    </row>
    <row r="246" spans="1:4" x14ac:dyDescent="0.25">
      <c r="A246" s="1"/>
      <c r="B246" s="1"/>
      <c r="C246" s="1" t="str">
        <f>IFERROR(VLOOKUP(A246,מחירון!A:F,5,),"")</f>
        <v/>
      </c>
      <c r="D246" s="18" t="str">
        <f>IFERROR(VLOOKUP(A246,מחירון!A:G,6,)*B246,"")</f>
        <v/>
      </c>
    </row>
    <row r="247" spans="1:4" x14ac:dyDescent="0.25">
      <c r="A247" s="1"/>
      <c r="B247" s="1"/>
      <c r="C247" s="1" t="str">
        <f>IFERROR(VLOOKUP(A247,מחירון!A:F,5,),"")</f>
        <v/>
      </c>
      <c r="D247" s="18" t="str">
        <f>IFERROR(VLOOKUP(A247,מחירון!A:G,6,)*B247,"")</f>
        <v/>
      </c>
    </row>
    <row r="248" spans="1:4" x14ac:dyDescent="0.25">
      <c r="A248" s="1"/>
      <c r="B248" s="1"/>
      <c r="C248" s="1" t="str">
        <f>IFERROR(VLOOKUP(A248,מחירון!A:F,5,),"")</f>
        <v/>
      </c>
      <c r="D248" s="18" t="str">
        <f>IFERROR(VLOOKUP(A248,מחירון!A:G,6,)*B248,"")</f>
        <v/>
      </c>
    </row>
    <row r="249" spans="1:4" x14ac:dyDescent="0.25">
      <c r="A249" s="1"/>
      <c r="B249" s="1"/>
      <c r="C249" s="1" t="str">
        <f>IFERROR(VLOOKUP(A249,מחירון!A:F,5,),"")</f>
        <v/>
      </c>
      <c r="D249" s="18" t="str">
        <f>IFERROR(VLOOKUP(A249,מחירון!A:G,6,)*B249,"")</f>
        <v/>
      </c>
    </row>
    <row r="250" spans="1:4" x14ac:dyDescent="0.25">
      <c r="A250" s="1"/>
      <c r="B250" s="1"/>
      <c r="C250" s="1" t="str">
        <f>IFERROR(VLOOKUP(A250,מחירון!A:F,5,),"")</f>
        <v/>
      </c>
      <c r="D250" s="18" t="str">
        <f>IFERROR(VLOOKUP(A250,מחירון!A:G,6,)*B250,"")</f>
        <v/>
      </c>
    </row>
    <row r="251" spans="1:4" x14ac:dyDescent="0.25">
      <c r="A251" s="1"/>
      <c r="B251" s="1"/>
      <c r="C251" s="1" t="str">
        <f>IFERROR(VLOOKUP(A251,מחירון!A:F,5,),"")</f>
        <v/>
      </c>
      <c r="D251" s="18" t="str">
        <f>IFERROR(VLOOKUP(A251,מחירון!A:G,6,)*B251,"")</f>
        <v/>
      </c>
    </row>
    <row r="252" spans="1:4" x14ac:dyDescent="0.25">
      <c r="A252" s="1"/>
      <c r="B252" s="1"/>
      <c r="C252" s="1" t="str">
        <f>IFERROR(VLOOKUP(A252,מחירון!A:F,5,),"")</f>
        <v/>
      </c>
      <c r="D252" s="18" t="str">
        <f>IFERROR(VLOOKUP(A252,מחירון!A:G,6,)*B252,"")</f>
        <v/>
      </c>
    </row>
    <row r="253" spans="1:4" x14ac:dyDescent="0.25">
      <c r="A253" s="1"/>
      <c r="B253" s="1"/>
      <c r="C253" s="1" t="str">
        <f>IFERROR(VLOOKUP(A253,מחירון!A:F,5,),"")</f>
        <v/>
      </c>
      <c r="D253" s="18" t="str">
        <f>IFERROR(VLOOKUP(A253,מחירון!A:G,6,)*B253,"")</f>
        <v/>
      </c>
    </row>
    <row r="254" spans="1:4" x14ac:dyDescent="0.25">
      <c r="A254" s="1"/>
      <c r="B254" s="1"/>
      <c r="C254" s="1" t="str">
        <f>IFERROR(VLOOKUP(A254,מחירון!A:F,5,),"")</f>
        <v/>
      </c>
      <c r="D254" s="18" t="str">
        <f>IFERROR(VLOOKUP(A254,מחירון!A:G,6,)*B254,"")</f>
        <v/>
      </c>
    </row>
    <row r="255" spans="1:4" x14ac:dyDescent="0.25">
      <c r="A255" s="1"/>
      <c r="B255" s="1"/>
      <c r="C255" s="1" t="str">
        <f>IFERROR(VLOOKUP(A255,מחירון!A:F,5,),"")</f>
        <v/>
      </c>
      <c r="D255" s="18" t="str">
        <f>IFERROR(VLOOKUP(A255,מחירון!A:G,6,)*B255,"")</f>
        <v/>
      </c>
    </row>
    <row r="256" spans="1:4" x14ac:dyDescent="0.25">
      <c r="A256" s="1"/>
      <c r="B256" s="1"/>
      <c r="C256" s="1" t="str">
        <f>IFERROR(VLOOKUP(A256,מחירון!A:F,5,),"")</f>
        <v/>
      </c>
      <c r="D256" s="18" t="str">
        <f>IFERROR(VLOOKUP(A256,מחירון!A:G,6,)*B256,"")</f>
        <v/>
      </c>
    </row>
    <row r="257" spans="1:4" x14ac:dyDescent="0.25">
      <c r="A257" s="1"/>
      <c r="B257" s="1"/>
      <c r="C257" s="1" t="str">
        <f>IFERROR(VLOOKUP(A257,מחירון!A:F,5,),"")</f>
        <v/>
      </c>
      <c r="D257" s="18" t="str">
        <f>IFERROR(VLOOKUP(A257,מחירון!A:G,6,)*B257,"")</f>
        <v/>
      </c>
    </row>
    <row r="258" spans="1:4" x14ac:dyDescent="0.25">
      <c r="A258" s="1"/>
      <c r="B258" s="1"/>
      <c r="C258" s="1" t="str">
        <f>IFERROR(VLOOKUP(A258,מחירון!A:F,5,),"")</f>
        <v/>
      </c>
      <c r="D258" s="18" t="str">
        <f>IFERROR(VLOOKUP(A258,מחירון!A:G,6,)*B258,"")</f>
        <v/>
      </c>
    </row>
    <row r="259" spans="1:4" x14ac:dyDescent="0.25">
      <c r="A259" s="1"/>
      <c r="B259" s="1"/>
      <c r="C259" s="1" t="str">
        <f>IFERROR(VLOOKUP(A259,מחירון!A:F,5,),"")</f>
        <v/>
      </c>
      <c r="D259" s="18" t="str">
        <f>IFERROR(VLOOKUP(A259,מחירון!A:G,6,)*B259,"")</f>
        <v/>
      </c>
    </row>
    <row r="260" spans="1:4" x14ac:dyDescent="0.25">
      <c r="A260" s="1"/>
      <c r="B260" s="1"/>
      <c r="C260" s="1" t="str">
        <f>IFERROR(VLOOKUP(A260,מחירון!A:F,5,),"")</f>
        <v/>
      </c>
      <c r="D260" s="18" t="str">
        <f>IFERROR(VLOOKUP(A260,מחירון!A:G,6,)*B260,"")</f>
        <v/>
      </c>
    </row>
    <row r="261" spans="1:4" x14ac:dyDescent="0.25">
      <c r="A261" s="1"/>
      <c r="B261" s="1"/>
      <c r="C261" s="1" t="str">
        <f>IFERROR(VLOOKUP(A261,מחירון!A:F,5,),"")</f>
        <v/>
      </c>
      <c r="D261" s="18" t="str">
        <f>IFERROR(VLOOKUP(A261,מחירון!A:G,6,)*B261,"")</f>
        <v/>
      </c>
    </row>
    <row r="262" spans="1:4" x14ac:dyDescent="0.25">
      <c r="A262" s="1"/>
      <c r="B262" s="1"/>
      <c r="C262" s="1" t="str">
        <f>IFERROR(VLOOKUP(A262,מחירון!A:F,5,),"")</f>
        <v/>
      </c>
      <c r="D262" s="18" t="str">
        <f>IFERROR(VLOOKUP(A262,מחירון!A:G,6,)*B262,"")</f>
        <v/>
      </c>
    </row>
    <row r="263" spans="1:4" x14ac:dyDescent="0.25">
      <c r="A263" s="1"/>
      <c r="B263" s="1"/>
      <c r="C263" s="1" t="str">
        <f>IFERROR(VLOOKUP(A263,מחירון!A:F,5,),"")</f>
        <v/>
      </c>
      <c r="D263" s="18" t="str">
        <f>IFERROR(VLOOKUP(A263,מחירון!A:G,6,)*B263,"")</f>
        <v/>
      </c>
    </row>
    <row r="264" spans="1:4" x14ac:dyDescent="0.25">
      <c r="A264" s="1"/>
      <c r="B264" s="1"/>
      <c r="C264" s="1" t="str">
        <f>IFERROR(VLOOKUP(A264,מחירון!A:F,5,),"")</f>
        <v/>
      </c>
      <c r="D264" s="18" t="str">
        <f>IFERROR(VLOOKUP(A264,מחירון!A:G,6,)*B264,"")</f>
        <v/>
      </c>
    </row>
    <row r="265" spans="1:4" x14ac:dyDescent="0.25">
      <c r="A265" s="1"/>
      <c r="B265" s="1"/>
      <c r="C265" s="1" t="str">
        <f>IFERROR(VLOOKUP(A265,מחירון!A:F,5,),"")</f>
        <v/>
      </c>
      <c r="D265" s="18" t="str">
        <f>IFERROR(VLOOKUP(A265,מחירון!A:G,6,)*B265,"")</f>
        <v/>
      </c>
    </row>
    <row r="266" spans="1:4" x14ac:dyDescent="0.25">
      <c r="A266" s="1"/>
      <c r="B266" s="1"/>
      <c r="C266" s="1" t="str">
        <f>IFERROR(VLOOKUP(A266,מחירון!A:F,5,),"")</f>
        <v/>
      </c>
      <c r="D266" s="18" t="str">
        <f>IFERROR(VLOOKUP(A266,מחירון!A:G,6,)*B266,"")</f>
        <v/>
      </c>
    </row>
    <row r="267" spans="1:4" x14ac:dyDescent="0.25">
      <c r="A267" s="1"/>
      <c r="B267" s="1"/>
      <c r="C267" s="1" t="str">
        <f>IFERROR(VLOOKUP(A267,מחירון!A:F,5,),"")</f>
        <v/>
      </c>
      <c r="D267" s="18" t="str">
        <f>IFERROR(VLOOKUP(A267,מחירון!A:G,6,)*B267,"")</f>
        <v/>
      </c>
    </row>
    <row r="268" spans="1:4" x14ac:dyDescent="0.25">
      <c r="A268" s="1"/>
      <c r="B268" s="1"/>
      <c r="C268" s="1" t="str">
        <f>IFERROR(VLOOKUP(A268,מחירון!A:F,5,),"")</f>
        <v/>
      </c>
      <c r="D268" s="18" t="str">
        <f>IFERROR(VLOOKUP(A268,מחירון!A:G,6,)*B268,"")</f>
        <v/>
      </c>
    </row>
    <row r="269" spans="1:4" x14ac:dyDescent="0.25">
      <c r="A269" s="1"/>
      <c r="B269" s="1"/>
      <c r="C269" s="1" t="str">
        <f>IFERROR(VLOOKUP(A269,מחירון!A:F,5,),"")</f>
        <v/>
      </c>
      <c r="D269" s="18" t="str">
        <f>IFERROR(VLOOKUP(A269,מחירון!A:G,6,)*B269,"")</f>
        <v/>
      </c>
    </row>
    <row r="270" spans="1:4" x14ac:dyDescent="0.25">
      <c r="A270" s="1"/>
      <c r="B270" s="1"/>
      <c r="C270" s="1" t="str">
        <f>IFERROR(VLOOKUP(A270,מחירון!A:F,5,),"")</f>
        <v/>
      </c>
      <c r="D270" s="18" t="str">
        <f>IFERROR(VLOOKUP(A270,מחירון!A:G,6,)*B270,"")</f>
        <v/>
      </c>
    </row>
    <row r="271" spans="1:4" x14ac:dyDescent="0.25">
      <c r="A271" s="1"/>
      <c r="B271" s="1"/>
      <c r="C271" s="1" t="str">
        <f>IFERROR(VLOOKUP(A271,מחירון!A:F,5,),"")</f>
        <v/>
      </c>
      <c r="D271" s="18" t="str">
        <f>IFERROR(VLOOKUP(A271,מחירון!A:G,6,)*B271,"")</f>
        <v/>
      </c>
    </row>
    <row r="272" spans="1:4" x14ac:dyDescent="0.25">
      <c r="A272" s="1"/>
      <c r="B272" s="1"/>
      <c r="C272" s="1" t="str">
        <f>IFERROR(VLOOKUP(A272,מחירון!A:F,5,),"")</f>
        <v/>
      </c>
      <c r="D272" s="18" t="str">
        <f>IFERROR(VLOOKUP(A272,מחירון!A:G,6,)*B272,"")</f>
        <v/>
      </c>
    </row>
    <row r="273" spans="1:4" x14ac:dyDescent="0.25">
      <c r="A273" s="1"/>
      <c r="B273" s="1"/>
      <c r="C273" s="1" t="str">
        <f>IFERROR(VLOOKUP(A273,מחירון!A:F,5,),"")</f>
        <v/>
      </c>
      <c r="D273" s="18" t="str">
        <f>IFERROR(VLOOKUP(A273,מחירון!A:G,6,)*B273,"")</f>
        <v/>
      </c>
    </row>
    <row r="274" spans="1:4" x14ac:dyDescent="0.25">
      <c r="A274" s="1"/>
      <c r="B274" s="1"/>
      <c r="C274" s="1" t="str">
        <f>IFERROR(VLOOKUP(A274,מחירון!A:F,5,),"")</f>
        <v/>
      </c>
      <c r="D274" s="18" t="str">
        <f>IFERROR(VLOOKUP(A274,מחירון!A:G,6,)*B274,"")</f>
        <v/>
      </c>
    </row>
    <row r="275" spans="1:4" x14ac:dyDescent="0.25">
      <c r="A275" s="1"/>
      <c r="B275" s="1"/>
      <c r="C275" s="1" t="str">
        <f>IFERROR(VLOOKUP(A275,מחירון!A:F,5,),"")</f>
        <v/>
      </c>
      <c r="D275" s="18" t="str">
        <f>IFERROR(VLOOKUP(A275,מחירון!A:G,6,)*B275,"")</f>
        <v/>
      </c>
    </row>
    <row r="276" spans="1:4" x14ac:dyDescent="0.25">
      <c r="A276" s="1"/>
      <c r="B276" s="1"/>
      <c r="C276" s="1" t="str">
        <f>IFERROR(VLOOKUP(A276,מחירון!A:F,5,),"")</f>
        <v/>
      </c>
      <c r="D276" s="18" t="str">
        <f>IFERROR(VLOOKUP(A276,מחירון!A:G,6,)*B276,"")</f>
        <v/>
      </c>
    </row>
    <row r="277" spans="1:4" x14ac:dyDescent="0.25">
      <c r="A277" s="1"/>
      <c r="B277" s="1"/>
      <c r="C277" s="1" t="str">
        <f>IFERROR(VLOOKUP(A277,מחירון!A:F,5,),"")</f>
        <v/>
      </c>
      <c r="D277" s="18" t="str">
        <f>IFERROR(VLOOKUP(A277,מחירון!A:G,6,)*B277,"")</f>
        <v/>
      </c>
    </row>
    <row r="278" spans="1:4" x14ac:dyDescent="0.25">
      <c r="A278" s="1"/>
      <c r="B278" s="1"/>
      <c r="C278" s="1" t="str">
        <f>IFERROR(VLOOKUP(A278,מחירון!A:F,5,),"")</f>
        <v/>
      </c>
      <c r="D278" s="18" t="str">
        <f>IFERROR(VLOOKUP(A278,מחירון!A:G,6,)*B278,"")</f>
        <v/>
      </c>
    </row>
    <row r="279" spans="1:4" x14ac:dyDescent="0.25">
      <c r="A279" s="1"/>
      <c r="B279" s="1"/>
      <c r="C279" s="1" t="str">
        <f>IFERROR(VLOOKUP(A279,מחירון!A:F,5,),"")</f>
        <v/>
      </c>
      <c r="D279" s="18" t="str">
        <f>IFERROR(VLOOKUP(A279,מחירון!A:G,6,)*B279,"")</f>
        <v/>
      </c>
    </row>
    <row r="280" spans="1:4" x14ac:dyDescent="0.25">
      <c r="A280" s="1"/>
      <c r="B280" s="1"/>
      <c r="C280" s="1" t="str">
        <f>IFERROR(VLOOKUP(A280,מחירון!A:F,5,),"")</f>
        <v/>
      </c>
      <c r="D280" s="18" t="str">
        <f>IFERROR(VLOOKUP(A280,מחירון!A:G,6,)*B280,"")</f>
        <v/>
      </c>
    </row>
    <row r="281" spans="1:4" x14ac:dyDescent="0.25">
      <c r="A281" s="1"/>
      <c r="B281" s="1"/>
      <c r="C281" s="1" t="str">
        <f>IFERROR(VLOOKUP(A281,מחירון!A:F,5,),"")</f>
        <v/>
      </c>
      <c r="D281" s="18" t="str">
        <f>IFERROR(VLOOKUP(A281,מחירון!A:G,6,)*B281,"")</f>
        <v/>
      </c>
    </row>
    <row r="282" spans="1:4" x14ac:dyDescent="0.25">
      <c r="A282" s="1"/>
      <c r="B282" s="1"/>
      <c r="C282" s="1" t="str">
        <f>IFERROR(VLOOKUP(A282,מחירון!A:F,5,),"")</f>
        <v/>
      </c>
      <c r="D282" s="18" t="str">
        <f>IFERROR(VLOOKUP(A282,מחירון!A:G,6,)*B282,"")</f>
        <v/>
      </c>
    </row>
    <row r="283" spans="1:4" x14ac:dyDescent="0.25">
      <c r="A283" s="1"/>
      <c r="B283" s="1"/>
      <c r="C283" s="1" t="str">
        <f>IFERROR(VLOOKUP(A283,מחירון!A:F,5,),"")</f>
        <v/>
      </c>
      <c r="D283" s="18" t="str">
        <f>IFERROR(VLOOKUP(A283,מחירון!A:G,6,)*B283,"")</f>
        <v/>
      </c>
    </row>
    <row r="284" spans="1:4" x14ac:dyDescent="0.25">
      <c r="A284" s="1"/>
      <c r="B284" s="1"/>
      <c r="C284" s="1" t="str">
        <f>IFERROR(VLOOKUP(A284,מחירון!A:F,5,),"")</f>
        <v/>
      </c>
      <c r="D284" s="18" t="str">
        <f>IFERROR(VLOOKUP(A284,מחירון!A:G,6,)*B284,"")</f>
        <v/>
      </c>
    </row>
    <row r="285" spans="1:4" x14ac:dyDescent="0.25">
      <c r="A285" s="1"/>
      <c r="B285" s="1"/>
      <c r="C285" s="1" t="str">
        <f>IFERROR(VLOOKUP(A285,מחירון!A:F,5,),"")</f>
        <v/>
      </c>
      <c r="D285" s="18" t="str">
        <f>IFERROR(VLOOKUP(A285,מחירון!A:G,6,)*B285,"")</f>
        <v/>
      </c>
    </row>
    <row r="286" spans="1:4" x14ac:dyDescent="0.25">
      <c r="A286" s="1"/>
      <c r="B286" s="1"/>
      <c r="C286" s="1" t="str">
        <f>IFERROR(VLOOKUP(A286,מחירון!A:F,5,),"")</f>
        <v/>
      </c>
      <c r="D286" s="18" t="str">
        <f>IFERROR(VLOOKUP(A286,מחירון!A:G,6,)*B286,"")</f>
        <v/>
      </c>
    </row>
    <row r="287" spans="1:4" x14ac:dyDescent="0.25">
      <c r="A287" s="1"/>
      <c r="B287" s="1"/>
      <c r="C287" s="1" t="str">
        <f>IFERROR(VLOOKUP(A287,מחירון!A:F,5,),"")</f>
        <v/>
      </c>
      <c r="D287" s="18" t="str">
        <f>IFERROR(VLOOKUP(A287,מחירון!A:G,6,)*B287,"")</f>
        <v/>
      </c>
    </row>
    <row r="288" spans="1:4" x14ac:dyDescent="0.25">
      <c r="A288" s="1"/>
      <c r="B288" s="1"/>
      <c r="C288" s="1" t="str">
        <f>IFERROR(VLOOKUP(A288,מחירון!A:F,5,),"")</f>
        <v/>
      </c>
      <c r="D288" s="18" t="str">
        <f>IFERROR(VLOOKUP(A288,מחירון!A:G,6,)*B288,"")</f>
        <v/>
      </c>
    </row>
    <row r="289" spans="1:4" x14ac:dyDescent="0.25">
      <c r="A289" s="1"/>
      <c r="B289" s="1"/>
      <c r="C289" s="1" t="str">
        <f>IFERROR(VLOOKUP(A289,מחירון!A:F,5,),"")</f>
        <v/>
      </c>
      <c r="D289" s="18" t="str">
        <f>IFERROR(VLOOKUP(A289,מחירון!A:G,6,)*B289,"")</f>
        <v/>
      </c>
    </row>
    <row r="290" spans="1:4" x14ac:dyDescent="0.25">
      <c r="A290" s="1"/>
      <c r="B290" s="1"/>
      <c r="C290" s="1" t="str">
        <f>IFERROR(VLOOKUP(A290,מחירון!A:F,5,),"")</f>
        <v/>
      </c>
      <c r="D290" s="18" t="str">
        <f>IFERROR(VLOOKUP(A290,מחירון!A:G,6,)*B290,"")</f>
        <v/>
      </c>
    </row>
    <row r="291" spans="1:4" x14ac:dyDescent="0.25">
      <c r="A291" s="1"/>
      <c r="B291" s="1"/>
      <c r="C291" s="1" t="str">
        <f>IFERROR(VLOOKUP(A291,מחירון!A:F,5,),"")</f>
        <v/>
      </c>
      <c r="D291" s="18" t="str">
        <f>IFERROR(VLOOKUP(A291,מחירון!A:G,6,)*B291,"")</f>
        <v/>
      </c>
    </row>
    <row r="292" spans="1:4" x14ac:dyDescent="0.25">
      <c r="A292" s="1"/>
      <c r="B292" s="1"/>
      <c r="C292" s="1" t="str">
        <f>IFERROR(VLOOKUP(A292,מחירון!A:F,5,),"")</f>
        <v/>
      </c>
      <c r="D292" s="18" t="str">
        <f>IFERROR(VLOOKUP(A292,מחירון!A:G,6,)*B292,"")</f>
        <v/>
      </c>
    </row>
    <row r="293" spans="1:4" x14ac:dyDescent="0.25">
      <c r="A293" s="1"/>
      <c r="B293" s="1"/>
      <c r="C293" s="1" t="str">
        <f>IFERROR(VLOOKUP(A293,מחירון!A:F,5,),"")</f>
        <v/>
      </c>
      <c r="D293" s="18" t="str">
        <f>IFERROR(VLOOKUP(A293,מחירון!A:G,6,)*B293,"")</f>
        <v/>
      </c>
    </row>
    <row r="294" spans="1:4" x14ac:dyDescent="0.25">
      <c r="A294" s="1"/>
      <c r="B294" s="1"/>
      <c r="C294" s="1" t="str">
        <f>IFERROR(VLOOKUP(A294,מחירון!A:F,5,),"")</f>
        <v/>
      </c>
      <c r="D294" s="18" t="str">
        <f>IFERROR(VLOOKUP(A294,מחירון!A:G,6,)*B294,"")</f>
        <v/>
      </c>
    </row>
    <row r="295" spans="1:4" x14ac:dyDescent="0.25">
      <c r="A295" s="1"/>
      <c r="B295" s="1"/>
      <c r="C295" s="1" t="str">
        <f>IFERROR(VLOOKUP(A295,מחירון!A:F,5,),"")</f>
        <v/>
      </c>
      <c r="D295" s="18" t="str">
        <f>IFERROR(VLOOKUP(A295,מחירון!A:G,6,)*B295,"")</f>
        <v/>
      </c>
    </row>
    <row r="296" spans="1:4" x14ac:dyDescent="0.25">
      <c r="A296" s="1"/>
      <c r="B296" s="1"/>
      <c r="C296" s="1" t="str">
        <f>IFERROR(VLOOKUP(A296,מחירון!A:F,5,),"")</f>
        <v/>
      </c>
      <c r="D296" s="18" t="str">
        <f>IFERROR(VLOOKUP(A296,מחירון!A:G,6,)*B296,"")</f>
        <v/>
      </c>
    </row>
    <row r="297" spans="1:4" x14ac:dyDescent="0.25">
      <c r="A297" s="1"/>
      <c r="B297" s="1"/>
      <c r="C297" s="1" t="str">
        <f>IFERROR(VLOOKUP(A297,מחירון!A:F,5,),"")</f>
        <v/>
      </c>
      <c r="D297" s="18" t="str">
        <f>IFERROR(VLOOKUP(A297,מחירון!A:G,6,)*B297,"")</f>
        <v/>
      </c>
    </row>
    <row r="298" spans="1:4" x14ac:dyDescent="0.25">
      <c r="A298" s="1"/>
      <c r="B298" s="1"/>
      <c r="C298" s="1" t="str">
        <f>IFERROR(VLOOKUP(A298,מחירון!A:F,5,),"")</f>
        <v/>
      </c>
      <c r="D298" s="18" t="str">
        <f>IFERROR(VLOOKUP(A298,מחירון!A:G,6,)*B298,"")</f>
        <v/>
      </c>
    </row>
    <row r="299" spans="1:4" x14ac:dyDescent="0.25">
      <c r="A299" s="1"/>
      <c r="B299" s="1"/>
      <c r="C299" s="1" t="str">
        <f>IFERROR(VLOOKUP(A299,מחירון!A:F,5,),"")</f>
        <v/>
      </c>
      <c r="D299" s="18" t="str">
        <f>IFERROR(VLOOKUP(A299,מחירון!A:G,6,)*B299,"")</f>
        <v/>
      </c>
    </row>
    <row r="300" spans="1:4" x14ac:dyDescent="0.25">
      <c r="A300" s="1"/>
      <c r="B300" s="1"/>
      <c r="C300" s="1" t="str">
        <f>IFERROR(VLOOKUP(A300,מחירון!A:F,5,),"")</f>
        <v/>
      </c>
      <c r="D300" s="18" t="str">
        <f>IFERROR(VLOOKUP(A300,מחירון!A:G,6,)*B300,"")</f>
        <v/>
      </c>
    </row>
    <row r="301" spans="1:4" x14ac:dyDescent="0.25">
      <c r="A301" s="1"/>
      <c r="B301" s="1"/>
      <c r="C301" s="1" t="str">
        <f>IFERROR(VLOOKUP(A301,מחירון!A:F,5,),"")</f>
        <v/>
      </c>
      <c r="D301" s="18" t="str">
        <f>IFERROR(VLOOKUP(A301,מחירון!A:G,6,)*B301,"")</f>
        <v/>
      </c>
    </row>
    <row r="302" spans="1:4" x14ac:dyDescent="0.25">
      <c r="A302" s="1"/>
      <c r="B302" s="1"/>
      <c r="C302" s="1" t="str">
        <f>IFERROR(VLOOKUP(A302,מחירון!A:F,5,),"")</f>
        <v/>
      </c>
      <c r="D302" s="18" t="str">
        <f>IFERROR(VLOOKUP(A302,מחירון!A:G,6,)*B302,"")</f>
        <v/>
      </c>
    </row>
    <row r="303" spans="1:4" x14ac:dyDescent="0.25">
      <c r="A303" s="1"/>
      <c r="B303" s="1"/>
      <c r="C303" s="1" t="str">
        <f>IFERROR(VLOOKUP(A303,מחירון!A:F,5,),"")</f>
        <v/>
      </c>
      <c r="D303" s="18" t="str">
        <f>IFERROR(VLOOKUP(A303,מחירון!A:G,6,)*B303,"")</f>
        <v/>
      </c>
    </row>
    <row r="304" spans="1:4" x14ac:dyDescent="0.25">
      <c r="A304" s="1"/>
      <c r="B304" s="1"/>
      <c r="C304" s="1" t="str">
        <f>IFERROR(VLOOKUP(A304,מחירון!A:F,5,),"")</f>
        <v/>
      </c>
      <c r="D304" s="18" t="str">
        <f>IFERROR(VLOOKUP(A304,מחירון!A:G,6,)*B304,"")</f>
        <v/>
      </c>
    </row>
    <row r="305" spans="1:4" x14ac:dyDescent="0.25">
      <c r="A305" s="1"/>
      <c r="B305" s="1"/>
      <c r="C305" s="1" t="str">
        <f>IFERROR(VLOOKUP(A305,מחירון!A:F,5,),"")</f>
        <v/>
      </c>
      <c r="D305" s="18" t="str">
        <f>IFERROR(VLOOKUP(A305,מחירון!A:G,6,)*B305,"")</f>
        <v/>
      </c>
    </row>
    <row r="306" spans="1:4" x14ac:dyDescent="0.25">
      <c r="A306" s="1"/>
      <c r="B306" s="1"/>
      <c r="C306" s="1" t="str">
        <f>IFERROR(VLOOKUP(A306,מחירון!A:F,5,),"")</f>
        <v/>
      </c>
      <c r="D306" s="18" t="str">
        <f>IFERROR(VLOOKUP(A306,מחירון!A:G,6,)*B306,"")</f>
        <v/>
      </c>
    </row>
    <row r="307" spans="1:4" x14ac:dyDescent="0.25">
      <c r="A307" s="1"/>
      <c r="B307" s="1"/>
      <c r="C307" s="1" t="str">
        <f>IFERROR(VLOOKUP(A307,מחירון!A:F,5,),"")</f>
        <v/>
      </c>
      <c r="D307" s="18" t="str">
        <f>IFERROR(VLOOKUP(A307,מחירון!A:G,6,)*B307,"")</f>
        <v/>
      </c>
    </row>
    <row r="308" spans="1:4" x14ac:dyDescent="0.25">
      <c r="A308" s="1"/>
      <c r="B308" s="1"/>
      <c r="C308" s="1" t="str">
        <f>IFERROR(VLOOKUP(A308,מחירון!A:F,5,),"")</f>
        <v/>
      </c>
      <c r="D308" s="18" t="str">
        <f>IFERROR(VLOOKUP(A308,מחירון!A:G,6,)*B308,"")</f>
        <v/>
      </c>
    </row>
    <row r="309" spans="1:4" x14ac:dyDescent="0.25">
      <c r="A309" s="1"/>
      <c r="B309" s="1"/>
      <c r="C309" s="1" t="str">
        <f>IFERROR(VLOOKUP(A309,מחירון!A:F,5,),"")</f>
        <v/>
      </c>
      <c r="D309" s="18" t="str">
        <f>IFERROR(VLOOKUP(A309,מחירון!A:G,6,)*B309,"")</f>
        <v/>
      </c>
    </row>
    <row r="310" spans="1:4" x14ac:dyDescent="0.25">
      <c r="A310" s="1"/>
      <c r="B310" s="1"/>
      <c r="C310" s="1" t="str">
        <f>IFERROR(VLOOKUP(A310,מחירון!A:F,5,),"")</f>
        <v/>
      </c>
      <c r="D310" s="18" t="str">
        <f>IFERROR(VLOOKUP(A310,מחירון!A:G,6,)*B310,"")</f>
        <v/>
      </c>
    </row>
    <row r="311" spans="1:4" x14ac:dyDescent="0.25">
      <c r="A311" s="1"/>
      <c r="B311" s="1"/>
      <c r="C311" s="1" t="str">
        <f>IFERROR(VLOOKUP(A311,מחירון!A:F,5,),"")</f>
        <v/>
      </c>
      <c r="D311" s="18" t="str">
        <f>IFERROR(VLOOKUP(A311,מחירון!A:G,6,)*B311,"")</f>
        <v/>
      </c>
    </row>
    <row r="312" spans="1:4" x14ac:dyDescent="0.25">
      <c r="A312" s="1"/>
      <c r="B312" s="1"/>
      <c r="C312" s="1" t="str">
        <f>IFERROR(VLOOKUP(A312,מחירון!A:F,5,),"")</f>
        <v/>
      </c>
      <c r="D312" s="18" t="str">
        <f>IFERROR(VLOOKUP(A312,מחירון!A:G,6,)*B312,"")</f>
        <v/>
      </c>
    </row>
    <row r="313" spans="1:4" x14ac:dyDescent="0.25">
      <c r="A313" s="1"/>
      <c r="B313" s="1"/>
      <c r="C313" s="1" t="str">
        <f>IFERROR(VLOOKUP(A313,מחירון!A:F,5,),"")</f>
        <v/>
      </c>
      <c r="D313" s="18" t="str">
        <f>IFERROR(VLOOKUP(A313,מחירון!A:G,6,)*B313,"")</f>
        <v/>
      </c>
    </row>
    <row r="314" spans="1:4" x14ac:dyDescent="0.25">
      <c r="A314" s="1"/>
      <c r="B314" s="1"/>
      <c r="C314" s="1" t="str">
        <f>IFERROR(VLOOKUP(A314,מחירון!A:F,5,),"")</f>
        <v/>
      </c>
      <c r="D314" s="18" t="str">
        <f>IFERROR(VLOOKUP(A314,מחירון!A:G,6,)*B314,"")</f>
        <v/>
      </c>
    </row>
    <row r="315" spans="1:4" x14ac:dyDescent="0.25">
      <c r="A315" s="1"/>
      <c r="B315" s="1"/>
      <c r="C315" s="1" t="str">
        <f>IFERROR(VLOOKUP(A315,מחירון!A:F,5,),"")</f>
        <v/>
      </c>
      <c r="D315" s="18" t="str">
        <f>IFERROR(VLOOKUP(A315,מחירון!A:G,6,)*B315,"")</f>
        <v/>
      </c>
    </row>
    <row r="316" spans="1:4" x14ac:dyDescent="0.25">
      <c r="A316" s="1"/>
      <c r="B316" s="1"/>
      <c r="C316" s="1" t="str">
        <f>IFERROR(VLOOKUP(A316,מחירון!A:F,5,),"")</f>
        <v/>
      </c>
      <c r="D316" s="18" t="str">
        <f>IFERROR(VLOOKUP(A316,מחירון!A:G,6,)*B316,"")</f>
        <v/>
      </c>
    </row>
    <row r="317" spans="1:4" x14ac:dyDescent="0.25">
      <c r="A317" s="1"/>
      <c r="B317" s="1"/>
      <c r="C317" s="1" t="str">
        <f>IFERROR(VLOOKUP(A317,מחירון!A:F,5,),"")</f>
        <v/>
      </c>
      <c r="D317" s="18" t="str">
        <f>IFERROR(VLOOKUP(A317,מחירון!A:G,6,)*B317,"")</f>
        <v/>
      </c>
    </row>
    <row r="318" spans="1:4" x14ac:dyDescent="0.25">
      <c r="A318" s="1"/>
      <c r="B318" s="1"/>
      <c r="C318" s="1" t="str">
        <f>IFERROR(VLOOKUP(A318,מחירון!A:F,5,),"")</f>
        <v/>
      </c>
      <c r="D318" s="18" t="str">
        <f>IFERROR(VLOOKUP(A318,מחירון!A:G,6,)*B318,"")</f>
        <v/>
      </c>
    </row>
    <row r="319" spans="1:4" x14ac:dyDescent="0.25">
      <c r="A319" s="1"/>
      <c r="B319" s="1"/>
      <c r="C319" s="1" t="str">
        <f>IFERROR(VLOOKUP(A319,מחירון!A:F,5,),"")</f>
        <v/>
      </c>
      <c r="D319" s="18" t="str">
        <f>IFERROR(VLOOKUP(A319,מחירון!A:G,6,)*B319,"")</f>
        <v/>
      </c>
    </row>
    <row r="320" spans="1:4" x14ac:dyDescent="0.25">
      <c r="A320" s="1"/>
      <c r="B320" s="1"/>
      <c r="C320" s="1" t="str">
        <f>IFERROR(VLOOKUP(A320,מחירון!A:F,5,),"")</f>
        <v/>
      </c>
      <c r="D320" s="18" t="str">
        <f>IFERROR(VLOOKUP(A320,מחירון!A:G,6,)*B320,"")</f>
        <v/>
      </c>
    </row>
    <row r="321" spans="1:4" x14ac:dyDescent="0.25">
      <c r="A321" s="1"/>
      <c r="B321" s="1"/>
      <c r="C321" s="1" t="str">
        <f>IFERROR(VLOOKUP(A321,מחירון!A:F,5,),"")</f>
        <v/>
      </c>
      <c r="D321" s="18" t="str">
        <f>IFERROR(VLOOKUP(A321,מחירון!A:G,6,)*B321,"")</f>
        <v/>
      </c>
    </row>
    <row r="322" spans="1:4" x14ac:dyDescent="0.25">
      <c r="A322" s="1"/>
      <c r="B322" s="1"/>
      <c r="C322" s="1" t="str">
        <f>IFERROR(VLOOKUP(A322,מחירון!A:F,5,),"")</f>
        <v/>
      </c>
      <c r="D322" s="18" t="str">
        <f>IFERROR(VLOOKUP(A322,מחירון!A:G,6,)*B322,"")</f>
        <v/>
      </c>
    </row>
    <row r="323" spans="1:4" x14ac:dyDescent="0.25">
      <c r="A323" s="1"/>
      <c r="B323" s="1"/>
      <c r="C323" s="1" t="str">
        <f>IFERROR(VLOOKUP(A323,מחירון!A:F,5,),"")</f>
        <v/>
      </c>
      <c r="D323" s="18" t="str">
        <f>IFERROR(VLOOKUP(A323,מחירון!A:G,6,)*B323,"")</f>
        <v/>
      </c>
    </row>
    <row r="324" spans="1:4" x14ac:dyDescent="0.25">
      <c r="A324" s="1"/>
      <c r="B324" s="1"/>
      <c r="C324" s="1" t="str">
        <f>IFERROR(VLOOKUP(A324,מחירון!A:F,5,),"")</f>
        <v/>
      </c>
      <c r="D324" s="18" t="str">
        <f>IFERROR(VLOOKUP(A324,מחירון!A:G,6,)*B324,"")</f>
        <v/>
      </c>
    </row>
    <row r="325" spans="1:4" x14ac:dyDescent="0.25">
      <c r="A325" s="1"/>
      <c r="B325" s="1"/>
      <c r="C325" s="1" t="str">
        <f>IFERROR(VLOOKUP(A325,מחירון!A:F,5,),"")</f>
        <v/>
      </c>
      <c r="D325" s="18" t="str">
        <f>IFERROR(VLOOKUP(A325,מחירון!A:G,6,)*B325,"")</f>
        <v/>
      </c>
    </row>
    <row r="326" spans="1:4" x14ac:dyDescent="0.25">
      <c r="A326" s="1"/>
      <c r="B326" s="1"/>
      <c r="C326" s="1" t="str">
        <f>IFERROR(VLOOKUP(A326,מחירון!A:F,5,),"")</f>
        <v/>
      </c>
      <c r="D326" s="18" t="str">
        <f>IFERROR(VLOOKUP(A326,מחירון!A:G,6,)*B326,"")</f>
        <v/>
      </c>
    </row>
    <row r="327" spans="1:4" x14ac:dyDescent="0.25">
      <c r="A327" s="1"/>
      <c r="B327" s="1"/>
      <c r="C327" s="1" t="str">
        <f>IFERROR(VLOOKUP(A327,מחירון!A:F,5,),"")</f>
        <v/>
      </c>
      <c r="D327" s="18" t="str">
        <f>IFERROR(VLOOKUP(A327,מחירון!A:G,6,)*B327,"")</f>
        <v/>
      </c>
    </row>
    <row r="328" spans="1:4" x14ac:dyDescent="0.25">
      <c r="A328" s="1"/>
      <c r="B328" s="1"/>
      <c r="C328" s="1" t="str">
        <f>IFERROR(VLOOKUP(A328,מחירון!A:F,5,),"")</f>
        <v/>
      </c>
      <c r="D328" s="18" t="str">
        <f>IFERROR(VLOOKUP(A328,מחירון!A:G,6,)*B328,"")</f>
        <v/>
      </c>
    </row>
    <row r="329" spans="1:4" x14ac:dyDescent="0.25">
      <c r="A329" s="1"/>
      <c r="B329" s="1"/>
      <c r="C329" s="1" t="str">
        <f>IFERROR(VLOOKUP(A329,מחירון!A:F,5,),"")</f>
        <v/>
      </c>
      <c r="D329" s="18" t="str">
        <f>IFERROR(VLOOKUP(A329,מחירון!A:G,6,)*B329,"")</f>
        <v/>
      </c>
    </row>
    <row r="330" spans="1:4" x14ac:dyDescent="0.25">
      <c r="A330" s="1"/>
      <c r="B330" s="1"/>
      <c r="C330" s="1" t="str">
        <f>IFERROR(VLOOKUP(A330,מחירון!A:F,5,),"")</f>
        <v/>
      </c>
      <c r="D330" s="18" t="str">
        <f>IFERROR(VLOOKUP(A330,מחירון!A:G,6,)*B330,"")</f>
        <v/>
      </c>
    </row>
    <row r="331" spans="1:4" x14ac:dyDescent="0.25">
      <c r="A331" s="1"/>
      <c r="B331" s="1"/>
      <c r="C331" s="1" t="str">
        <f>IFERROR(VLOOKUP(A331,מחירון!A:F,5,),"")</f>
        <v/>
      </c>
      <c r="D331" s="18" t="str">
        <f>IFERROR(VLOOKUP(A331,מחירון!A:G,6,)*B331,"")</f>
        <v/>
      </c>
    </row>
    <row r="332" spans="1:4" x14ac:dyDescent="0.25">
      <c r="A332" s="1"/>
      <c r="B332" s="1"/>
      <c r="C332" s="1" t="str">
        <f>IFERROR(VLOOKUP(A332,מחירון!A:F,5,),"")</f>
        <v/>
      </c>
      <c r="D332" s="18" t="str">
        <f>IFERROR(VLOOKUP(A332,מחירון!A:G,6,)*B332,"")</f>
        <v/>
      </c>
    </row>
    <row r="333" spans="1:4" x14ac:dyDescent="0.25">
      <c r="A333" s="1"/>
      <c r="B333" s="1"/>
      <c r="C333" s="1" t="str">
        <f>IFERROR(VLOOKUP(A333,מחירון!A:F,5,),"")</f>
        <v/>
      </c>
      <c r="D333" s="18" t="str">
        <f>IFERROR(VLOOKUP(A333,מחירון!A:G,6,)*B333,"")</f>
        <v/>
      </c>
    </row>
    <row r="334" spans="1:4" x14ac:dyDescent="0.25">
      <c r="A334" s="1"/>
      <c r="B334" s="1"/>
      <c r="C334" s="1" t="str">
        <f>IFERROR(VLOOKUP(A334,מחירון!A:F,5,),"")</f>
        <v/>
      </c>
      <c r="D334" s="18" t="str">
        <f>IFERROR(VLOOKUP(A334,מחירון!A:G,6,)*B334,"")</f>
        <v/>
      </c>
    </row>
    <row r="335" spans="1:4" x14ac:dyDescent="0.25">
      <c r="A335" s="1"/>
      <c r="B335" s="1"/>
      <c r="C335" s="1" t="str">
        <f>IFERROR(VLOOKUP(A335,מחירון!A:F,5,),"")</f>
        <v/>
      </c>
      <c r="D335" s="18" t="str">
        <f>IFERROR(VLOOKUP(A335,מחירון!A:G,6,)*B335,"")</f>
        <v/>
      </c>
    </row>
    <row r="336" spans="1:4" x14ac:dyDescent="0.25">
      <c r="A336" s="1"/>
      <c r="B336" s="1"/>
      <c r="C336" s="1" t="str">
        <f>IFERROR(VLOOKUP(A336,מחירון!A:F,5,),"")</f>
        <v/>
      </c>
      <c r="D336" s="18" t="str">
        <f>IFERROR(VLOOKUP(A336,מחירון!A:G,6,)*B336,"")</f>
        <v/>
      </c>
    </row>
    <row r="337" spans="1:4" x14ac:dyDescent="0.25">
      <c r="A337" s="1"/>
      <c r="B337" s="1"/>
      <c r="C337" s="1" t="str">
        <f>IFERROR(VLOOKUP(A337,מחירון!A:F,5,),"")</f>
        <v/>
      </c>
      <c r="D337" s="18" t="str">
        <f>IFERROR(VLOOKUP(A337,מחירון!A:G,6,)*B337,"")</f>
        <v/>
      </c>
    </row>
    <row r="338" spans="1:4" x14ac:dyDescent="0.25">
      <c r="A338" s="1"/>
      <c r="B338" s="1"/>
      <c r="C338" s="1" t="str">
        <f>IFERROR(VLOOKUP(A338,מחירון!A:F,5,),"")</f>
        <v/>
      </c>
      <c r="D338" s="18" t="str">
        <f>IFERROR(VLOOKUP(A338,מחירון!A:G,6,)*B338,"")</f>
        <v/>
      </c>
    </row>
    <row r="339" spans="1:4" x14ac:dyDescent="0.25">
      <c r="A339" s="1"/>
      <c r="B339" s="1"/>
      <c r="C339" s="1" t="str">
        <f>IFERROR(VLOOKUP(A339,מחירון!A:F,5,),"")</f>
        <v/>
      </c>
      <c r="D339" s="18" t="str">
        <f>IFERROR(VLOOKUP(A339,מחירון!A:G,6,)*B339,"")</f>
        <v/>
      </c>
    </row>
    <row r="340" spans="1:4" x14ac:dyDescent="0.25">
      <c r="A340" s="1"/>
      <c r="B340" s="1"/>
      <c r="C340" s="1" t="str">
        <f>IFERROR(VLOOKUP(A340,מחירון!A:F,5,),"")</f>
        <v/>
      </c>
      <c r="D340" s="18" t="str">
        <f>IFERROR(VLOOKUP(A340,מחירון!A:G,6,)*B340,"")</f>
        <v/>
      </c>
    </row>
    <row r="341" spans="1:4" x14ac:dyDescent="0.25">
      <c r="A341" s="1"/>
      <c r="B341" s="1"/>
      <c r="C341" s="1" t="str">
        <f>IFERROR(VLOOKUP(A341,מחירון!A:F,5,),"")</f>
        <v/>
      </c>
      <c r="D341" s="18" t="str">
        <f>IFERROR(VLOOKUP(A341,מחירון!A:G,6,)*B341,"")</f>
        <v/>
      </c>
    </row>
    <row r="342" spans="1:4" x14ac:dyDescent="0.25">
      <c r="A342" s="1"/>
      <c r="B342" s="1"/>
      <c r="C342" s="1" t="str">
        <f>IFERROR(VLOOKUP(A342,מחירון!A:F,5,),"")</f>
        <v/>
      </c>
      <c r="D342" s="18" t="str">
        <f>IFERROR(VLOOKUP(A342,מחירון!A:G,6,)*B342,"")</f>
        <v/>
      </c>
    </row>
    <row r="343" spans="1:4" x14ac:dyDescent="0.25">
      <c r="A343" s="1"/>
      <c r="B343" s="1"/>
      <c r="C343" s="1" t="str">
        <f>IFERROR(VLOOKUP(A343,מחירון!A:F,5,),"")</f>
        <v/>
      </c>
      <c r="D343" s="18" t="str">
        <f>IFERROR(VLOOKUP(A343,מחירון!A:G,6,)*B343,"")</f>
        <v/>
      </c>
    </row>
    <row r="344" spans="1:4" x14ac:dyDescent="0.25">
      <c r="A344" s="1"/>
      <c r="B344" s="1"/>
      <c r="C344" s="1" t="str">
        <f>IFERROR(VLOOKUP(A344,מחירון!A:F,5,),"")</f>
        <v/>
      </c>
      <c r="D344" s="18" t="str">
        <f>IFERROR(VLOOKUP(A344,מחירון!A:G,6,)*B344,"")</f>
        <v/>
      </c>
    </row>
    <row r="345" spans="1:4" x14ac:dyDescent="0.25">
      <c r="A345" s="1"/>
      <c r="B345" s="1"/>
      <c r="C345" s="1" t="str">
        <f>IFERROR(VLOOKUP(A345,מחירון!A:F,5,),"")</f>
        <v/>
      </c>
      <c r="D345" s="18" t="str">
        <f>IFERROR(VLOOKUP(A345,מחירון!A:G,6,)*B345,"")</f>
        <v/>
      </c>
    </row>
    <row r="346" spans="1:4" x14ac:dyDescent="0.25">
      <c r="A346" s="1"/>
      <c r="B346" s="1"/>
      <c r="C346" s="1" t="str">
        <f>IFERROR(VLOOKUP(A346,מחירון!A:F,5,),"")</f>
        <v/>
      </c>
      <c r="D346" s="18" t="str">
        <f>IFERROR(VLOOKUP(A346,מחירון!A:G,6,)*B346,"")</f>
        <v/>
      </c>
    </row>
    <row r="347" spans="1:4" x14ac:dyDescent="0.25">
      <c r="A347" s="1"/>
      <c r="B347" s="1"/>
      <c r="C347" s="1" t="str">
        <f>IFERROR(VLOOKUP(A347,מחירון!A:F,5,),"")</f>
        <v/>
      </c>
      <c r="D347" s="18" t="str">
        <f>IFERROR(VLOOKUP(A347,מחירון!A:G,6,)*B347,"")</f>
        <v/>
      </c>
    </row>
    <row r="348" spans="1:4" x14ac:dyDescent="0.25">
      <c r="A348" s="1"/>
      <c r="B348" s="1"/>
      <c r="C348" s="1" t="str">
        <f>IFERROR(VLOOKUP(A348,מחירון!A:F,5,),"")</f>
        <v/>
      </c>
      <c r="D348" s="18" t="str">
        <f>IFERROR(VLOOKUP(A348,מחירון!A:G,6,)*B348,"")</f>
        <v/>
      </c>
    </row>
    <row r="349" spans="1:4" x14ac:dyDescent="0.25">
      <c r="A349" s="1"/>
      <c r="B349" s="1"/>
      <c r="C349" s="1" t="str">
        <f>IFERROR(VLOOKUP(A349,מחירון!A:F,5,),"")</f>
        <v/>
      </c>
      <c r="D349" s="18" t="str">
        <f>IFERROR(VLOOKUP(A349,מחירון!A:G,6,)*B349,"")</f>
        <v/>
      </c>
    </row>
    <row r="350" spans="1:4" x14ac:dyDescent="0.25">
      <c r="A350" s="1"/>
      <c r="B350" s="1"/>
      <c r="C350" s="1" t="str">
        <f>IFERROR(VLOOKUP(A350,מחירון!A:F,5,),"")</f>
        <v/>
      </c>
      <c r="D350" s="18" t="str">
        <f>IFERROR(VLOOKUP(A350,מחירון!A:G,6,)*B350,"")</f>
        <v/>
      </c>
    </row>
    <row r="351" spans="1:4" x14ac:dyDescent="0.25">
      <c r="A351" s="1"/>
      <c r="B351" s="1"/>
      <c r="C351" s="1" t="str">
        <f>IFERROR(VLOOKUP(A351,מחירון!A:F,5,),"")</f>
        <v/>
      </c>
      <c r="D351" s="18" t="str">
        <f>IFERROR(VLOOKUP(A351,מחירון!A:G,6,)*B351,"")</f>
        <v/>
      </c>
    </row>
    <row r="352" spans="1:4" x14ac:dyDescent="0.25">
      <c r="A352" s="1"/>
      <c r="B352" s="1"/>
      <c r="C352" s="1" t="str">
        <f>IFERROR(VLOOKUP(A352,מחירון!A:F,5,),"")</f>
        <v/>
      </c>
      <c r="D352" s="18" t="str">
        <f>IFERROR(VLOOKUP(A352,מחירון!A:G,6,)*B352,"")</f>
        <v/>
      </c>
    </row>
    <row r="353" spans="1:4" x14ac:dyDescent="0.25">
      <c r="A353" s="1"/>
      <c r="B353" s="1"/>
      <c r="C353" s="1" t="str">
        <f>IFERROR(VLOOKUP(A353,מחירון!A:F,5,),"")</f>
        <v/>
      </c>
      <c r="D353" s="18" t="str">
        <f>IFERROR(VLOOKUP(A353,מחירון!A:G,6,)*B353,"")</f>
        <v/>
      </c>
    </row>
    <row r="354" spans="1:4" x14ac:dyDescent="0.25">
      <c r="A354" s="1"/>
      <c r="B354" s="1"/>
      <c r="C354" s="1" t="str">
        <f>IFERROR(VLOOKUP(A354,מחירון!A:F,5,),"")</f>
        <v/>
      </c>
      <c r="D354" s="18" t="str">
        <f>IFERROR(VLOOKUP(A354,מחירון!A:G,6,)*B354,"")</f>
        <v/>
      </c>
    </row>
    <row r="355" spans="1:4" x14ac:dyDescent="0.25">
      <c r="A355" s="1"/>
      <c r="B355" s="1"/>
      <c r="C355" s="1" t="str">
        <f>IFERROR(VLOOKUP(A355,מחירון!A:F,5,),"")</f>
        <v/>
      </c>
      <c r="D355" s="18" t="str">
        <f>IFERROR(VLOOKUP(A355,מחירון!A:G,6,)*B355,"")</f>
        <v/>
      </c>
    </row>
    <row r="356" spans="1:4" x14ac:dyDescent="0.25">
      <c r="A356" s="1"/>
      <c r="B356" s="1"/>
      <c r="C356" s="1" t="str">
        <f>IFERROR(VLOOKUP(A356,מחירון!A:F,5,),"")</f>
        <v/>
      </c>
      <c r="D356" s="18" t="str">
        <f>IFERROR(VLOOKUP(A356,מחירון!A:G,6,)*B356,"")</f>
        <v/>
      </c>
    </row>
    <row r="357" spans="1:4" x14ac:dyDescent="0.25">
      <c r="A357" s="1"/>
      <c r="B357" s="1"/>
      <c r="C357" s="1" t="str">
        <f>IFERROR(VLOOKUP(A357,מחירון!A:F,5,),"")</f>
        <v/>
      </c>
      <c r="D357" s="18" t="str">
        <f>IFERROR(VLOOKUP(A357,מחירון!A:G,6,)*B357,"")</f>
        <v/>
      </c>
    </row>
    <row r="358" spans="1:4" x14ac:dyDescent="0.25">
      <c r="A358" s="1"/>
      <c r="B358" s="1"/>
      <c r="C358" s="1" t="str">
        <f>IFERROR(VLOOKUP(A358,מחירון!A:F,5,),"")</f>
        <v/>
      </c>
      <c r="D358" s="18" t="str">
        <f>IFERROR(VLOOKUP(A358,מחירון!A:G,6,)*B358,"")</f>
        <v/>
      </c>
    </row>
    <row r="359" spans="1:4" x14ac:dyDescent="0.25">
      <c r="A359" s="1"/>
      <c r="B359" s="1"/>
      <c r="C359" s="1" t="str">
        <f>IFERROR(VLOOKUP(A359,מחירון!A:F,5,),"")</f>
        <v/>
      </c>
      <c r="D359" s="18" t="str">
        <f>IFERROR(VLOOKUP(A359,מחירון!A:G,6,)*B359,"")</f>
        <v/>
      </c>
    </row>
    <row r="360" spans="1:4" x14ac:dyDescent="0.25">
      <c r="A360" s="1"/>
      <c r="B360" s="1"/>
      <c r="C360" s="1" t="str">
        <f>IFERROR(VLOOKUP(A360,מחירון!A:F,5,),"")</f>
        <v/>
      </c>
      <c r="D360" s="18" t="str">
        <f>IFERROR(VLOOKUP(A360,מחירון!A:G,6,)*B360,"")</f>
        <v/>
      </c>
    </row>
    <row r="361" spans="1:4" x14ac:dyDescent="0.25">
      <c r="A361" s="1"/>
      <c r="B361" s="1"/>
      <c r="C361" s="1" t="str">
        <f>IFERROR(VLOOKUP(A361,מחירון!A:F,5,),"")</f>
        <v/>
      </c>
      <c r="D361" s="18" t="str">
        <f>IFERROR(VLOOKUP(A361,מחירון!A:G,6,)*B361,"")</f>
        <v/>
      </c>
    </row>
    <row r="362" spans="1:4" x14ac:dyDescent="0.25">
      <c r="A362" s="1"/>
      <c r="B362" s="1"/>
      <c r="C362" s="1" t="str">
        <f>IFERROR(VLOOKUP(A362,מחירון!A:F,5,),"")</f>
        <v/>
      </c>
      <c r="D362" s="18" t="str">
        <f>IFERROR(VLOOKUP(A362,מחירון!A:G,6,)*B362,"")</f>
        <v/>
      </c>
    </row>
    <row r="363" spans="1:4" x14ac:dyDescent="0.25">
      <c r="A363" s="1"/>
      <c r="B363" s="1"/>
      <c r="C363" s="1" t="str">
        <f>IFERROR(VLOOKUP(A363,מחירון!A:F,5,),"")</f>
        <v/>
      </c>
      <c r="D363" s="18" t="str">
        <f>IFERROR(VLOOKUP(A363,מחירון!A:G,6,)*B363,"")</f>
        <v/>
      </c>
    </row>
    <row r="364" spans="1:4" x14ac:dyDescent="0.25">
      <c r="A364" s="1"/>
      <c r="B364" s="1"/>
      <c r="C364" s="1" t="str">
        <f>IFERROR(VLOOKUP(A364,מחירון!A:F,5,),"")</f>
        <v/>
      </c>
      <c r="D364" s="18" t="str">
        <f>IFERROR(VLOOKUP(A364,מחירון!A:G,6,)*B364,"")</f>
        <v/>
      </c>
    </row>
    <row r="365" spans="1:4" x14ac:dyDescent="0.25">
      <c r="A365" s="1"/>
      <c r="B365" s="1"/>
      <c r="C365" s="1" t="str">
        <f>IFERROR(VLOOKUP(A365,מחירון!A:F,5,),"")</f>
        <v/>
      </c>
      <c r="D365" s="18" t="str">
        <f>IFERROR(VLOOKUP(A365,מחירון!A:G,6,)*B365,"")</f>
        <v/>
      </c>
    </row>
    <row r="366" spans="1:4" x14ac:dyDescent="0.25">
      <c r="A366" s="1"/>
      <c r="B366" s="1"/>
      <c r="C366" s="1" t="str">
        <f>IFERROR(VLOOKUP(A366,מחירון!A:F,5,),"")</f>
        <v/>
      </c>
      <c r="D366" s="18" t="str">
        <f>IFERROR(VLOOKUP(A366,מחירון!A:G,6,)*B366,"")</f>
        <v/>
      </c>
    </row>
    <row r="367" spans="1:4" x14ac:dyDescent="0.25">
      <c r="A367" s="1"/>
      <c r="B367" s="1"/>
      <c r="C367" s="1" t="str">
        <f>IFERROR(VLOOKUP(A367,מחירון!A:F,5,),"")</f>
        <v/>
      </c>
      <c r="D367" s="18" t="str">
        <f>IFERROR(VLOOKUP(A367,מחירון!A:G,6,)*B367,"")</f>
        <v/>
      </c>
    </row>
    <row r="368" spans="1:4" x14ac:dyDescent="0.25">
      <c r="A368" s="1"/>
      <c r="B368" s="1"/>
      <c r="C368" s="1" t="str">
        <f>IFERROR(VLOOKUP(A368,מחירון!A:F,5,),"")</f>
        <v/>
      </c>
      <c r="D368" s="18" t="str">
        <f>IFERROR(VLOOKUP(A368,מחירון!A:G,6,)*B368,"")</f>
        <v/>
      </c>
    </row>
    <row r="369" spans="1:4" x14ac:dyDescent="0.25">
      <c r="A369" s="1"/>
      <c r="B369" s="1"/>
      <c r="C369" s="1" t="str">
        <f>IFERROR(VLOOKUP(A369,מחירון!A:F,5,),"")</f>
        <v/>
      </c>
      <c r="D369" s="18" t="str">
        <f>IFERROR(VLOOKUP(A369,מחירון!A:G,6,)*B369,"")</f>
        <v/>
      </c>
    </row>
    <row r="370" spans="1:4" x14ac:dyDescent="0.25">
      <c r="A370" s="1"/>
      <c r="B370" s="1"/>
      <c r="C370" s="1" t="str">
        <f>IFERROR(VLOOKUP(A370,מחירון!A:F,5,),"")</f>
        <v/>
      </c>
      <c r="D370" s="18" t="str">
        <f>IFERROR(VLOOKUP(A370,מחירון!A:G,6,)*B370,"")</f>
        <v/>
      </c>
    </row>
    <row r="371" spans="1:4" x14ac:dyDescent="0.25">
      <c r="A371" s="1"/>
      <c r="B371" s="1"/>
      <c r="C371" s="1" t="str">
        <f>IFERROR(VLOOKUP(A371,מחירון!A:F,5,),"")</f>
        <v/>
      </c>
      <c r="D371" s="18" t="str">
        <f>IFERROR(VLOOKUP(A371,מחירון!A:G,6,)*B371,"")</f>
        <v/>
      </c>
    </row>
    <row r="372" spans="1:4" x14ac:dyDescent="0.25">
      <c r="A372" s="1"/>
      <c r="B372" s="1"/>
      <c r="C372" s="1" t="str">
        <f>IFERROR(VLOOKUP(A372,מחירון!A:F,5,),"")</f>
        <v/>
      </c>
      <c r="D372" s="18" t="str">
        <f>IFERROR(VLOOKUP(A372,מחירון!A:G,6,)*B372,"")</f>
        <v/>
      </c>
    </row>
    <row r="373" spans="1:4" x14ac:dyDescent="0.25">
      <c r="A373" s="1"/>
      <c r="B373" s="1"/>
      <c r="C373" s="1" t="str">
        <f>IFERROR(VLOOKUP(A373,מחירון!A:F,5,),"")</f>
        <v/>
      </c>
      <c r="D373" s="18" t="str">
        <f>IFERROR(VLOOKUP(A373,מחירון!A:G,6,)*B373,"")</f>
        <v/>
      </c>
    </row>
    <row r="374" spans="1:4" x14ac:dyDescent="0.25">
      <c r="A374" s="1"/>
      <c r="B374" s="1"/>
      <c r="C374" s="1" t="str">
        <f>IFERROR(VLOOKUP(A374,מחירון!A:F,5,),"")</f>
        <v/>
      </c>
      <c r="D374" s="18" t="str">
        <f>IFERROR(VLOOKUP(A374,מחירון!A:G,6,)*B374,"")</f>
        <v/>
      </c>
    </row>
    <row r="375" spans="1:4" x14ac:dyDescent="0.25">
      <c r="A375" s="1"/>
      <c r="B375" s="1"/>
      <c r="C375" s="1" t="str">
        <f>IFERROR(VLOOKUP(A375,מחירון!A:F,5,),"")</f>
        <v/>
      </c>
      <c r="D375" s="18" t="str">
        <f>IFERROR(VLOOKUP(A375,מחירון!A:G,6,)*B375,"")</f>
        <v/>
      </c>
    </row>
    <row r="376" spans="1:4" x14ac:dyDescent="0.25">
      <c r="A376" s="1"/>
      <c r="B376" s="1"/>
      <c r="C376" s="1" t="str">
        <f>IFERROR(VLOOKUP(A376,מחירון!A:F,5,),"")</f>
        <v/>
      </c>
      <c r="D376" s="18" t="str">
        <f>IFERROR(VLOOKUP(A376,מחירון!A:G,6,)*B376,"")</f>
        <v/>
      </c>
    </row>
    <row r="377" spans="1:4" x14ac:dyDescent="0.25">
      <c r="A377" s="1"/>
      <c r="B377" s="1"/>
      <c r="C377" s="1" t="str">
        <f>IFERROR(VLOOKUP(A377,מחירון!A:F,5,),"")</f>
        <v/>
      </c>
      <c r="D377" s="18" t="str">
        <f>IFERROR(VLOOKUP(A377,מחירון!A:G,6,)*B377,"")</f>
        <v/>
      </c>
    </row>
    <row r="378" spans="1:4" x14ac:dyDescent="0.25">
      <c r="A378" s="1"/>
      <c r="B378" s="1"/>
      <c r="C378" s="1" t="str">
        <f>IFERROR(VLOOKUP(A378,מחירון!A:F,5,),"")</f>
        <v/>
      </c>
      <c r="D378" s="18" t="str">
        <f>IFERROR(VLOOKUP(A378,מחירון!A:G,6,)*B378,"")</f>
        <v/>
      </c>
    </row>
    <row r="379" spans="1:4" x14ac:dyDescent="0.25">
      <c r="A379" s="1"/>
      <c r="B379" s="1"/>
      <c r="C379" s="1" t="str">
        <f>IFERROR(VLOOKUP(A379,מחירון!A:F,5,),"")</f>
        <v/>
      </c>
      <c r="D379" s="18" t="str">
        <f>IFERROR(VLOOKUP(A379,מחירון!A:G,6,)*B379,"")</f>
        <v/>
      </c>
    </row>
    <row r="380" spans="1:4" x14ac:dyDescent="0.25">
      <c r="A380" s="1"/>
      <c r="B380" s="1"/>
      <c r="C380" s="1" t="str">
        <f>IFERROR(VLOOKUP(A380,מחירון!A:F,5,),"")</f>
        <v/>
      </c>
      <c r="D380" s="18" t="str">
        <f>IFERROR(VLOOKUP(A380,מחירון!A:G,6,)*B380,"")</f>
        <v/>
      </c>
    </row>
    <row r="381" spans="1:4" x14ac:dyDescent="0.25">
      <c r="A381" s="1"/>
      <c r="B381" s="1"/>
      <c r="C381" s="1" t="str">
        <f>IFERROR(VLOOKUP(A381,מחירון!A:F,5,),"")</f>
        <v/>
      </c>
      <c r="D381" s="18" t="str">
        <f>IFERROR(VLOOKUP(A381,מחירון!A:G,6,)*B381,"")</f>
        <v/>
      </c>
    </row>
    <row r="382" spans="1:4" x14ac:dyDescent="0.25">
      <c r="A382" s="1"/>
      <c r="B382" s="1"/>
      <c r="C382" s="1" t="str">
        <f>IFERROR(VLOOKUP(A382,מחירון!A:F,5,),"")</f>
        <v/>
      </c>
      <c r="D382" s="18" t="str">
        <f>IFERROR(VLOOKUP(A382,מחירון!A:G,6,)*B382,"")</f>
        <v/>
      </c>
    </row>
    <row r="383" spans="1:4" x14ac:dyDescent="0.25">
      <c r="A383" s="1"/>
      <c r="B383" s="1"/>
      <c r="C383" s="1" t="str">
        <f>IFERROR(VLOOKUP(A383,מחירון!A:F,5,),"")</f>
        <v/>
      </c>
      <c r="D383" s="18" t="str">
        <f>IFERROR(VLOOKUP(A383,מחירון!A:G,6,)*B383,"")</f>
        <v/>
      </c>
    </row>
    <row r="384" spans="1:4" x14ac:dyDescent="0.25">
      <c r="A384" s="1"/>
      <c r="B384" s="1"/>
      <c r="C384" s="1" t="str">
        <f>IFERROR(VLOOKUP(A384,מחירון!A:F,5,),"")</f>
        <v/>
      </c>
      <c r="D384" s="18" t="str">
        <f>IFERROR(VLOOKUP(A384,מחירון!A:G,6,)*B384,"")</f>
        <v/>
      </c>
    </row>
    <row r="385" spans="1:4" x14ac:dyDescent="0.25">
      <c r="A385" s="1"/>
      <c r="B385" s="1"/>
      <c r="C385" s="1" t="str">
        <f>IFERROR(VLOOKUP(A385,מחירון!A:F,5,),"")</f>
        <v/>
      </c>
      <c r="D385" s="18" t="str">
        <f>IFERROR(VLOOKUP(A385,מחירון!A:G,6,)*B385,"")</f>
        <v/>
      </c>
    </row>
    <row r="386" spans="1:4" x14ac:dyDescent="0.25">
      <c r="A386" s="1"/>
      <c r="B386" s="1"/>
      <c r="C386" s="1" t="str">
        <f>IFERROR(VLOOKUP(A386,מחירון!A:F,5,),"")</f>
        <v/>
      </c>
      <c r="D386" s="18" t="str">
        <f>IFERROR(VLOOKUP(A386,מחירון!A:G,6,)*B386,"")</f>
        <v/>
      </c>
    </row>
    <row r="387" spans="1:4" x14ac:dyDescent="0.25">
      <c r="A387" s="1"/>
      <c r="B387" s="1"/>
      <c r="C387" s="1" t="str">
        <f>IFERROR(VLOOKUP(A387,מחירון!A:F,5,),"")</f>
        <v/>
      </c>
      <c r="D387" s="18" t="str">
        <f>IFERROR(VLOOKUP(A387,מחירון!A:G,6,)*B387,"")</f>
        <v/>
      </c>
    </row>
    <row r="388" spans="1:4" x14ac:dyDescent="0.25">
      <c r="A388" s="1"/>
      <c r="B388" s="1"/>
      <c r="C388" s="1" t="str">
        <f>IFERROR(VLOOKUP(A388,מחירון!A:F,5,),"")</f>
        <v/>
      </c>
      <c r="D388" s="18" t="str">
        <f>IFERROR(VLOOKUP(A388,מחירון!A:G,6,)*B388,"")</f>
        <v/>
      </c>
    </row>
    <row r="389" spans="1:4" x14ac:dyDescent="0.25">
      <c r="A389" s="1"/>
      <c r="B389" s="1"/>
      <c r="C389" s="1" t="str">
        <f>IFERROR(VLOOKUP(A389,מחירון!A:F,5,),"")</f>
        <v/>
      </c>
      <c r="D389" s="18" t="str">
        <f>IFERROR(VLOOKUP(A389,מחירון!A:G,6,)*B389,"")</f>
        <v/>
      </c>
    </row>
    <row r="390" spans="1:4" x14ac:dyDescent="0.25">
      <c r="A390" s="1"/>
      <c r="B390" s="1"/>
      <c r="C390" s="1" t="str">
        <f>IFERROR(VLOOKUP(A390,מחירון!A:F,5,),"")</f>
        <v/>
      </c>
      <c r="D390" s="18" t="str">
        <f>IFERROR(VLOOKUP(A390,מחירון!A:G,6,)*B390,"")</f>
        <v/>
      </c>
    </row>
    <row r="391" spans="1:4" x14ac:dyDescent="0.25">
      <c r="A391" s="1"/>
      <c r="B391" s="1"/>
      <c r="C391" s="1" t="str">
        <f>IFERROR(VLOOKUP(A391,מחירון!A:F,5,),"")</f>
        <v/>
      </c>
      <c r="D391" s="18" t="str">
        <f>IFERROR(VLOOKUP(A391,מחירון!A:G,6,)*B391,"")</f>
        <v/>
      </c>
    </row>
    <row r="392" spans="1:4" x14ac:dyDescent="0.25">
      <c r="A392" s="1"/>
      <c r="B392" s="1"/>
      <c r="C392" s="1" t="str">
        <f>IFERROR(VLOOKUP(A392,מחירון!A:F,5,),"")</f>
        <v/>
      </c>
      <c r="D392" s="18" t="str">
        <f>IFERROR(VLOOKUP(A392,מחירון!A:G,6,)*B392,"")</f>
        <v/>
      </c>
    </row>
    <row r="393" spans="1:4" x14ac:dyDescent="0.25">
      <c r="A393" s="1"/>
      <c r="B393" s="1"/>
      <c r="C393" s="1" t="str">
        <f>IFERROR(VLOOKUP(A393,מחירון!A:F,5,),"")</f>
        <v/>
      </c>
      <c r="D393" s="18" t="str">
        <f>IFERROR(VLOOKUP(A393,מחירון!A:G,6,)*B393,"")</f>
        <v/>
      </c>
    </row>
    <row r="394" spans="1:4" x14ac:dyDescent="0.25">
      <c r="A394" s="1"/>
      <c r="B394" s="1"/>
      <c r="C394" s="1" t="str">
        <f>IFERROR(VLOOKUP(A394,מחירון!A:F,5,),"")</f>
        <v/>
      </c>
      <c r="D394" s="18" t="str">
        <f>IFERROR(VLOOKUP(A394,מחירון!A:G,6,)*B394,"")</f>
        <v/>
      </c>
    </row>
    <row r="395" spans="1:4" x14ac:dyDescent="0.25">
      <c r="A395" s="1"/>
      <c r="B395" s="1"/>
      <c r="C395" s="1" t="str">
        <f>IFERROR(VLOOKUP(A395,מחירון!A:F,5,),"")</f>
        <v/>
      </c>
      <c r="D395" s="18" t="str">
        <f>IFERROR(VLOOKUP(A395,מחירון!A:G,6,)*B395,"")</f>
        <v/>
      </c>
    </row>
    <row r="396" spans="1:4" x14ac:dyDescent="0.25">
      <c r="A396" s="1"/>
      <c r="B396" s="1"/>
      <c r="C396" s="1" t="str">
        <f>IFERROR(VLOOKUP(A396,מחירון!A:F,5,),"")</f>
        <v/>
      </c>
      <c r="D396" s="18" t="str">
        <f>IFERROR(VLOOKUP(A396,מחירון!A:G,6,)*B396,"")</f>
        <v/>
      </c>
    </row>
    <row r="397" spans="1:4" x14ac:dyDescent="0.25">
      <c r="A397" s="1"/>
      <c r="B397" s="1"/>
      <c r="C397" s="1" t="str">
        <f>IFERROR(VLOOKUP(A397,מחירון!A:F,5,),"")</f>
        <v/>
      </c>
      <c r="D397" s="18" t="str">
        <f>IFERROR(VLOOKUP(A397,מחירון!A:G,6,)*B397,"")</f>
        <v/>
      </c>
    </row>
    <row r="398" spans="1:4" x14ac:dyDescent="0.25">
      <c r="A398" s="1"/>
      <c r="B398" s="1"/>
      <c r="C398" s="1" t="str">
        <f>IFERROR(VLOOKUP(A398,מחירון!A:F,5,),"")</f>
        <v/>
      </c>
      <c r="D398" s="18" t="str">
        <f>IFERROR(VLOOKUP(A398,מחירון!A:G,6,)*B398,"")</f>
        <v/>
      </c>
    </row>
    <row r="399" spans="1:4" x14ac:dyDescent="0.25">
      <c r="A399" s="1"/>
      <c r="B399" s="1"/>
      <c r="C399" s="1" t="str">
        <f>IFERROR(VLOOKUP(A399,מחירון!A:F,5,),"")</f>
        <v/>
      </c>
      <c r="D399" s="18" t="str">
        <f>IFERROR(VLOOKUP(A399,מחירון!A:G,6,)*B399,"")</f>
        <v/>
      </c>
    </row>
    <row r="400" spans="1:4" x14ac:dyDescent="0.25">
      <c r="A400" s="1"/>
      <c r="B400" s="1"/>
      <c r="C400" s="1" t="str">
        <f>IFERROR(VLOOKUP(A400,מחירון!A:F,5,),"")</f>
        <v/>
      </c>
      <c r="D400" s="18" t="str">
        <f>IFERROR(VLOOKUP(A400,מחירון!A:G,6,)*B400,"")</f>
        <v/>
      </c>
    </row>
    <row r="401" spans="1:4" x14ac:dyDescent="0.25">
      <c r="A401" s="1"/>
      <c r="B401" s="1"/>
      <c r="C401" s="1" t="str">
        <f>IFERROR(VLOOKUP(A401,מחירון!A:F,5,),"")</f>
        <v/>
      </c>
      <c r="D401" s="18" t="str">
        <f>IFERROR(VLOOKUP(A401,מחירון!A:G,6,)*B401,"")</f>
        <v/>
      </c>
    </row>
    <row r="402" spans="1:4" x14ac:dyDescent="0.25">
      <c r="A402" s="1"/>
      <c r="B402" s="1"/>
      <c r="C402" s="1" t="str">
        <f>IFERROR(VLOOKUP(A402,מחירון!A:F,5,),"")</f>
        <v/>
      </c>
      <c r="D402" s="18" t="str">
        <f>IFERROR(VLOOKUP(A402,מחירון!A:G,6,)*B402,"")</f>
        <v/>
      </c>
    </row>
    <row r="403" spans="1:4" x14ac:dyDescent="0.25">
      <c r="A403" s="1"/>
      <c r="B403" s="1"/>
      <c r="C403" s="1" t="str">
        <f>IFERROR(VLOOKUP(A403,מחירון!A:F,5,),"")</f>
        <v/>
      </c>
      <c r="D403" s="18" t="str">
        <f>IFERROR(VLOOKUP(A403,מחירון!A:G,6,)*B403,"")</f>
        <v/>
      </c>
    </row>
    <row r="404" spans="1:4" x14ac:dyDescent="0.25">
      <c r="A404" s="1"/>
      <c r="B404" s="1"/>
      <c r="C404" s="1" t="str">
        <f>IFERROR(VLOOKUP(A404,מחירון!A:F,5,),"")</f>
        <v/>
      </c>
      <c r="D404" s="18" t="str">
        <f>IFERROR(VLOOKUP(A404,מחירון!A:G,6,)*B404,"")</f>
        <v/>
      </c>
    </row>
    <row r="405" spans="1:4" x14ac:dyDescent="0.25">
      <c r="A405" s="1"/>
      <c r="B405" s="1"/>
      <c r="C405" s="1" t="str">
        <f>IFERROR(VLOOKUP(A405,מחירון!A:F,5,),"")</f>
        <v/>
      </c>
      <c r="D405" s="18" t="str">
        <f>IFERROR(VLOOKUP(A405,מחירון!A:G,6,)*B405,"")</f>
        <v/>
      </c>
    </row>
    <row r="406" spans="1:4" x14ac:dyDescent="0.25">
      <c r="A406" s="1"/>
      <c r="B406" s="1"/>
      <c r="C406" s="1" t="str">
        <f>IFERROR(VLOOKUP(A406,מחירון!A:F,5,),"")</f>
        <v/>
      </c>
      <c r="D406" s="18" t="str">
        <f>IFERROR(VLOOKUP(A406,מחירון!A:G,6,)*B406,"")</f>
        <v/>
      </c>
    </row>
    <row r="407" spans="1:4" x14ac:dyDescent="0.25">
      <c r="A407" s="1"/>
      <c r="B407" s="1"/>
      <c r="C407" s="1" t="str">
        <f>IFERROR(VLOOKUP(A407,מחירון!A:F,5,),"")</f>
        <v/>
      </c>
      <c r="D407" s="18" t="str">
        <f>IFERROR(VLOOKUP(A407,מחירון!A:G,6,)*B407,"")</f>
        <v/>
      </c>
    </row>
    <row r="408" spans="1:4" x14ac:dyDescent="0.25">
      <c r="A408" s="1"/>
      <c r="B408" s="1"/>
      <c r="C408" s="1" t="str">
        <f>IFERROR(VLOOKUP(A408,מחירון!A:F,5,),"")</f>
        <v/>
      </c>
      <c r="D408" s="18" t="str">
        <f>IFERROR(VLOOKUP(A408,מחירון!A:G,6,)*B408,"")</f>
        <v/>
      </c>
    </row>
    <row r="409" spans="1:4" x14ac:dyDescent="0.25">
      <c r="A409" s="1"/>
      <c r="B409" s="1"/>
      <c r="C409" s="1" t="str">
        <f>IFERROR(VLOOKUP(A409,מחירון!A:F,5,),"")</f>
        <v/>
      </c>
      <c r="D409" s="18" t="str">
        <f>IFERROR(VLOOKUP(A409,מחירון!A:G,6,)*B409,"")</f>
        <v/>
      </c>
    </row>
    <row r="410" spans="1:4" x14ac:dyDescent="0.25">
      <c r="A410" s="1"/>
      <c r="B410" s="1"/>
      <c r="C410" s="1" t="str">
        <f>IFERROR(VLOOKUP(A410,מחירון!A:F,5,),"")</f>
        <v/>
      </c>
      <c r="D410" s="18" t="str">
        <f>IFERROR(VLOOKUP(A410,מחירון!A:G,6,)*B410,"")</f>
        <v/>
      </c>
    </row>
    <row r="411" spans="1:4" x14ac:dyDescent="0.25">
      <c r="A411" s="1"/>
      <c r="B411" s="1"/>
      <c r="C411" s="1" t="str">
        <f>IFERROR(VLOOKUP(A411,מחירון!A:F,5,),"")</f>
        <v/>
      </c>
      <c r="D411" s="18" t="str">
        <f>IFERROR(VLOOKUP(A411,מחירון!A:G,6,)*B411,"")</f>
        <v/>
      </c>
    </row>
    <row r="412" spans="1:4" x14ac:dyDescent="0.25">
      <c r="A412" s="1"/>
      <c r="B412" s="1"/>
      <c r="C412" s="1" t="str">
        <f>IFERROR(VLOOKUP(A412,מחירון!A:F,5,),"")</f>
        <v/>
      </c>
      <c r="D412" s="18" t="str">
        <f>IFERROR(VLOOKUP(A412,מחירון!A:G,6,)*B412,"")</f>
        <v/>
      </c>
    </row>
    <row r="413" spans="1:4" x14ac:dyDescent="0.25">
      <c r="A413" s="1"/>
      <c r="B413" s="1"/>
      <c r="C413" s="1" t="str">
        <f>IFERROR(VLOOKUP(A413,מחירון!A:F,5,),"")</f>
        <v/>
      </c>
      <c r="D413" s="18" t="str">
        <f>IFERROR(VLOOKUP(A413,מחירון!A:G,6,)*B413,"")</f>
        <v/>
      </c>
    </row>
    <row r="414" spans="1:4" x14ac:dyDescent="0.25">
      <c r="A414" s="1"/>
      <c r="B414" s="1"/>
      <c r="C414" s="1" t="str">
        <f>IFERROR(VLOOKUP(A414,מחירון!A:F,5,),"")</f>
        <v/>
      </c>
      <c r="D414" s="18" t="str">
        <f>IFERROR(VLOOKUP(A414,מחירון!A:G,6,)*B414,"")</f>
        <v/>
      </c>
    </row>
    <row r="415" spans="1:4" x14ac:dyDescent="0.25">
      <c r="A415" s="1"/>
      <c r="B415" s="1"/>
      <c r="C415" s="1" t="str">
        <f>IFERROR(VLOOKUP(A415,מחירון!A:F,5,),"")</f>
        <v/>
      </c>
      <c r="D415" s="18" t="str">
        <f>IFERROR(VLOOKUP(A415,מחירון!A:G,6,)*B415,"")</f>
        <v/>
      </c>
    </row>
    <row r="416" spans="1:4" x14ac:dyDescent="0.25">
      <c r="A416" s="1"/>
      <c r="B416" s="1"/>
      <c r="C416" s="1" t="str">
        <f>IFERROR(VLOOKUP(A416,מחירון!A:F,5,),"")</f>
        <v/>
      </c>
      <c r="D416" s="18" t="str">
        <f>IFERROR(VLOOKUP(A416,מחירון!A:G,6,)*B416,"")</f>
        <v/>
      </c>
    </row>
    <row r="417" spans="1:4" x14ac:dyDescent="0.25">
      <c r="A417" s="1"/>
      <c r="B417" s="1"/>
      <c r="C417" s="1" t="str">
        <f>IFERROR(VLOOKUP(A417,מחירון!A:F,5,),"")</f>
        <v/>
      </c>
      <c r="D417" s="18" t="str">
        <f>IFERROR(VLOOKUP(A417,מחירון!A:G,6,)*B417,"")</f>
        <v/>
      </c>
    </row>
    <row r="418" spans="1:4" x14ac:dyDescent="0.25">
      <c r="A418" s="1"/>
      <c r="B418" s="1"/>
      <c r="C418" s="1" t="str">
        <f>IFERROR(VLOOKUP(A418,מחירון!A:F,5,),"")</f>
        <v/>
      </c>
      <c r="D418" s="18" t="str">
        <f>IFERROR(VLOOKUP(A418,מחירון!A:G,6,)*B418,"")</f>
        <v/>
      </c>
    </row>
    <row r="419" spans="1:4" x14ac:dyDescent="0.25">
      <c r="A419" s="1"/>
      <c r="B419" s="1"/>
      <c r="C419" s="1" t="str">
        <f>IFERROR(VLOOKUP(A419,מחירון!A:F,5,),"")</f>
        <v/>
      </c>
      <c r="D419" s="18" t="str">
        <f>IFERROR(VLOOKUP(A419,מחירון!A:G,6,)*B419,"")</f>
        <v/>
      </c>
    </row>
    <row r="420" spans="1:4" x14ac:dyDescent="0.25">
      <c r="A420" s="1"/>
      <c r="B420" s="1"/>
      <c r="C420" s="1" t="str">
        <f>IFERROR(VLOOKUP(A420,מחירון!A:F,5,),"")</f>
        <v/>
      </c>
      <c r="D420" s="18" t="str">
        <f>IFERROR(VLOOKUP(A420,מחירון!A:G,6,)*B420,"")</f>
        <v/>
      </c>
    </row>
    <row r="421" spans="1:4" x14ac:dyDescent="0.25">
      <c r="A421" s="1"/>
      <c r="B421" s="1"/>
      <c r="C421" s="1" t="str">
        <f>IFERROR(VLOOKUP(A421,מחירון!A:F,5,),"")</f>
        <v/>
      </c>
      <c r="D421" s="18" t="str">
        <f>IFERROR(VLOOKUP(A421,מחירון!A:G,6,)*B421,"")</f>
        <v/>
      </c>
    </row>
    <row r="422" spans="1:4" x14ac:dyDescent="0.25">
      <c r="A422" s="1"/>
      <c r="B422" s="1"/>
      <c r="C422" s="1" t="str">
        <f>IFERROR(VLOOKUP(A422,מחירון!A:F,5,),"")</f>
        <v/>
      </c>
      <c r="D422" s="18" t="str">
        <f>IFERROR(VLOOKUP(A422,מחירון!A:G,6,)*B422,"")</f>
        <v/>
      </c>
    </row>
    <row r="423" spans="1:4" x14ac:dyDescent="0.25">
      <c r="A423" s="1"/>
      <c r="B423" s="1"/>
      <c r="C423" s="1" t="str">
        <f>IFERROR(VLOOKUP(A423,מחירון!A:F,5,),"")</f>
        <v/>
      </c>
      <c r="D423" s="18" t="str">
        <f>IFERROR(VLOOKUP(A423,מחירון!A:G,6,)*B423,"")</f>
        <v/>
      </c>
    </row>
    <row r="424" spans="1:4" x14ac:dyDescent="0.25">
      <c r="A424" s="1"/>
      <c r="B424" s="1"/>
      <c r="C424" s="1" t="str">
        <f>IFERROR(VLOOKUP(A424,מחירון!A:F,5,),"")</f>
        <v/>
      </c>
      <c r="D424" s="18" t="str">
        <f>IFERROR(VLOOKUP(A424,מחירון!A:G,6,)*B424,"")</f>
        <v/>
      </c>
    </row>
    <row r="425" spans="1:4" x14ac:dyDescent="0.25">
      <c r="A425" s="1"/>
      <c r="B425" s="1"/>
      <c r="C425" s="1" t="str">
        <f>IFERROR(VLOOKUP(A425,מחירון!A:F,5,),"")</f>
        <v/>
      </c>
      <c r="D425" s="18" t="str">
        <f>IFERROR(VLOOKUP(A425,מחירון!A:G,6,)*B425,"")</f>
        <v/>
      </c>
    </row>
    <row r="426" spans="1:4" x14ac:dyDescent="0.25">
      <c r="A426" s="1"/>
      <c r="B426" s="1"/>
      <c r="C426" s="1" t="str">
        <f>IFERROR(VLOOKUP(A426,מחירון!A:F,5,),"")</f>
        <v/>
      </c>
      <c r="D426" s="18" t="str">
        <f>IFERROR(VLOOKUP(A426,מחירון!A:G,6,)*B426,"")</f>
        <v/>
      </c>
    </row>
    <row r="427" spans="1:4" x14ac:dyDescent="0.25">
      <c r="A427" s="1"/>
      <c r="B427" s="1"/>
      <c r="C427" s="1" t="str">
        <f>IFERROR(VLOOKUP(A427,מחירון!A:F,5,),"")</f>
        <v/>
      </c>
      <c r="D427" s="18" t="str">
        <f>IFERROR(VLOOKUP(A427,מחירון!A:G,6,)*B427,"")</f>
        <v/>
      </c>
    </row>
    <row r="428" spans="1:4" x14ac:dyDescent="0.25">
      <c r="A428" s="1"/>
      <c r="B428" s="1"/>
      <c r="C428" s="1" t="str">
        <f>IFERROR(VLOOKUP(A428,מחירון!A:F,5,),"")</f>
        <v/>
      </c>
      <c r="D428" s="18" t="str">
        <f>IFERROR(VLOOKUP(A428,מחירון!A:G,6,)*B428,"")</f>
        <v/>
      </c>
    </row>
    <row r="429" spans="1:4" x14ac:dyDescent="0.25">
      <c r="A429" s="1"/>
      <c r="B429" s="1"/>
      <c r="C429" s="1" t="str">
        <f>IFERROR(VLOOKUP(A429,מחירון!A:F,5,),"")</f>
        <v/>
      </c>
      <c r="D429" s="18" t="str">
        <f>IFERROR(VLOOKUP(A429,מחירון!A:G,6,)*B429,"")</f>
        <v/>
      </c>
    </row>
    <row r="430" spans="1:4" x14ac:dyDescent="0.25">
      <c r="A430" s="1"/>
      <c r="B430" s="1"/>
      <c r="C430" s="1" t="str">
        <f>IFERROR(VLOOKUP(A430,מחירון!A:F,5,),"")</f>
        <v/>
      </c>
      <c r="D430" s="18" t="str">
        <f>IFERROR(VLOOKUP(A430,מחירון!A:G,6,)*B430,"")</f>
        <v/>
      </c>
    </row>
    <row r="431" spans="1:4" x14ac:dyDescent="0.25">
      <c r="A431" s="1"/>
      <c r="B431" s="1"/>
      <c r="C431" s="1" t="str">
        <f>IFERROR(VLOOKUP(A431,מחירון!A:F,5,),"")</f>
        <v/>
      </c>
      <c r="D431" s="18" t="str">
        <f>IFERROR(VLOOKUP(A431,מחירון!A:G,6,)*B431,"")</f>
        <v/>
      </c>
    </row>
    <row r="432" spans="1:4" x14ac:dyDescent="0.25">
      <c r="A432" s="1"/>
      <c r="B432" s="1"/>
      <c r="C432" s="1" t="str">
        <f>IFERROR(VLOOKUP(A432,מחירון!A:F,5,),"")</f>
        <v/>
      </c>
      <c r="D432" s="18" t="str">
        <f>IFERROR(VLOOKUP(A432,מחירון!A:G,6,)*B432,"")</f>
        <v/>
      </c>
    </row>
    <row r="433" spans="1:4" x14ac:dyDescent="0.25">
      <c r="A433" s="1"/>
      <c r="B433" s="1"/>
      <c r="C433" s="1" t="str">
        <f>IFERROR(VLOOKUP(A433,מחירון!A:F,5,),"")</f>
        <v/>
      </c>
      <c r="D433" s="18" t="str">
        <f>IFERROR(VLOOKUP(A433,מחירון!A:G,6,)*B433,"")</f>
        <v/>
      </c>
    </row>
    <row r="434" spans="1:4" x14ac:dyDescent="0.25">
      <c r="A434" s="1"/>
      <c r="B434" s="1"/>
      <c r="C434" s="1" t="str">
        <f>IFERROR(VLOOKUP(A434,מחירון!A:F,5,),"")</f>
        <v/>
      </c>
      <c r="D434" s="18" t="str">
        <f>IFERROR(VLOOKUP(A434,מחירון!A:G,6,)*B434,"")</f>
        <v/>
      </c>
    </row>
    <row r="435" spans="1:4" x14ac:dyDescent="0.25">
      <c r="A435" s="1"/>
      <c r="B435" s="1"/>
      <c r="C435" s="1" t="str">
        <f>IFERROR(VLOOKUP(A435,מחירון!A:F,5,),"")</f>
        <v/>
      </c>
      <c r="D435" s="18" t="str">
        <f>IFERROR(VLOOKUP(A435,מחירון!A:G,6,)*B435,"")</f>
        <v/>
      </c>
    </row>
    <row r="436" spans="1:4" x14ac:dyDescent="0.25">
      <c r="A436" s="1"/>
      <c r="B436" s="1"/>
      <c r="C436" s="1" t="str">
        <f>IFERROR(VLOOKUP(A436,מחירון!A:F,5,),"")</f>
        <v/>
      </c>
      <c r="D436" s="18" t="str">
        <f>IFERROR(VLOOKUP(A436,מחירון!A:G,6,)*B436,"")</f>
        <v/>
      </c>
    </row>
    <row r="437" spans="1:4" x14ac:dyDescent="0.25">
      <c r="A437" s="1"/>
      <c r="B437" s="1"/>
      <c r="C437" s="1" t="str">
        <f>IFERROR(VLOOKUP(A437,מחירון!A:F,5,),"")</f>
        <v/>
      </c>
      <c r="D437" s="18" t="str">
        <f>IFERROR(VLOOKUP(A437,מחירון!A:G,6,)*B437,"")</f>
        <v/>
      </c>
    </row>
    <row r="438" spans="1:4" x14ac:dyDescent="0.25">
      <c r="A438" s="1"/>
      <c r="B438" s="1"/>
      <c r="C438" s="1" t="str">
        <f>IFERROR(VLOOKUP(A438,מחירון!A:F,5,),"")</f>
        <v/>
      </c>
      <c r="D438" s="18" t="str">
        <f>IFERROR(VLOOKUP(A438,מחירון!A:G,6,)*B438,"")</f>
        <v/>
      </c>
    </row>
    <row r="439" spans="1:4" x14ac:dyDescent="0.25">
      <c r="A439" s="1"/>
      <c r="B439" s="1"/>
      <c r="C439" s="1" t="str">
        <f>IFERROR(VLOOKUP(A439,מחירון!A:F,5,),"")</f>
        <v/>
      </c>
      <c r="D439" s="18" t="str">
        <f>IFERROR(VLOOKUP(A439,מחירון!A:G,6,)*B439,"")</f>
        <v/>
      </c>
    </row>
    <row r="440" spans="1:4" x14ac:dyDescent="0.25">
      <c r="A440" s="1"/>
      <c r="B440" s="1"/>
      <c r="C440" s="1" t="str">
        <f>IFERROR(VLOOKUP(A440,מחירון!A:F,5,),"")</f>
        <v/>
      </c>
      <c r="D440" s="18" t="str">
        <f>IFERROR(VLOOKUP(A440,מחירון!A:G,6,)*B440,"")</f>
        <v/>
      </c>
    </row>
    <row r="441" spans="1:4" x14ac:dyDescent="0.25">
      <c r="A441" s="1"/>
      <c r="B441" s="1"/>
      <c r="C441" s="1" t="str">
        <f>IFERROR(VLOOKUP(A441,מחירון!A:F,5,),"")</f>
        <v/>
      </c>
      <c r="D441" s="18" t="str">
        <f>IFERROR(VLOOKUP(A441,מחירון!A:G,6,)*B441,"")</f>
        <v/>
      </c>
    </row>
    <row r="442" spans="1:4" x14ac:dyDescent="0.25">
      <c r="A442" s="1"/>
      <c r="B442" s="1"/>
      <c r="C442" s="1" t="str">
        <f>IFERROR(VLOOKUP(A442,מחירון!A:F,5,),"")</f>
        <v/>
      </c>
      <c r="D442" s="18" t="str">
        <f>IFERROR(VLOOKUP(A442,מחירון!A:G,6,)*B442,"")</f>
        <v/>
      </c>
    </row>
    <row r="443" spans="1:4" x14ac:dyDescent="0.25">
      <c r="A443" s="1"/>
      <c r="B443" s="1"/>
      <c r="C443" s="1" t="str">
        <f>IFERROR(VLOOKUP(A443,מחירון!A:F,5,),"")</f>
        <v/>
      </c>
      <c r="D443" s="18" t="str">
        <f>IFERROR(VLOOKUP(A443,מחירון!A:G,6,)*B443,"")</f>
        <v/>
      </c>
    </row>
    <row r="444" spans="1:4" x14ac:dyDescent="0.25">
      <c r="A444" s="1"/>
      <c r="B444" s="1"/>
      <c r="C444" s="1" t="str">
        <f>IFERROR(VLOOKUP(A444,מחירון!A:F,5,),"")</f>
        <v/>
      </c>
      <c r="D444" s="18" t="str">
        <f>IFERROR(VLOOKUP(A444,מחירון!A:G,6,)*B444,"")</f>
        <v/>
      </c>
    </row>
    <row r="445" spans="1:4" x14ac:dyDescent="0.25">
      <c r="A445" s="1"/>
      <c r="B445" s="1"/>
      <c r="C445" s="1" t="str">
        <f>IFERROR(VLOOKUP(A445,מחירון!A:F,5,),"")</f>
        <v/>
      </c>
      <c r="D445" s="18" t="str">
        <f>IFERROR(VLOOKUP(A445,מחירון!A:G,6,)*B445,"")</f>
        <v/>
      </c>
    </row>
    <row r="446" spans="1:4" x14ac:dyDescent="0.25">
      <c r="A446" s="1"/>
      <c r="B446" s="1"/>
      <c r="C446" s="1" t="str">
        <f>IFERROR(VLOOKUP(A446,מחירון!A:F,5,),"")</f>
        <v/>
      </c>
      <c r="D446" s="18" t="str">
        <f>IFERROR(VLOOKUP(A446,מחירון!A:G,6,)*B446,"")</f>
        <v/>
      </c>
    </row>
    <row r="447" spans="1:4" x14ac:dyDescent="0.25">
      <c r="C447" t="str">
        <f>IFERROR(VLOOKUP(A447,מחירון!A:F,5,),"")</f>
        <v/>
      </c>
      <c r="D447" s="17" t="str">
        <f>IFERROR(VLOOKUP(A447,מחירון!A:G,6,)*B447,"")</f>
        <v/>
      </c>
    </row>
    <row r="448" spans="1:4" x14ac:dyDescent="0.25">
      <c r="C448" t="str">
        <f>IFERROR(VLOOKUP(A448,מחירון!A:F,5,),"")</f>
        <v/>
      </c>
      <c r="D448" s="17" t="str">
        <f>IFERROR(VLOOKUP(A448,מחירון!A:G,6,)*B448,"")</f>
        <v/>
      </c>
    </row>
    <row r="449" spans="3:4" x14ac:dyDescent="0.25">
      <c r="C449" t="str">
        <f>IFERROR(VLOOKUP(A449,מחירון!A:F,5,),"")</f>
        <v/>
      </c>
      <c r="D449" s="17" t="str">
        <f>IFERROR(VLOOKUP(A449,מחירון!A:G,6,)*B449,"")</f>
        <v/>
      </c>
    </row>
    <row r="450" spans="3:4" x14ac:dyDescent="0.25">
      <c r="C450" t="str">
        <f>IFERROR(VLOOKUP(A450,מחירון!A:F,5,),"")</f>
        <v/>
      </c>
      <c r="D450" s="17" t="str">
        <f>IFERROR(VLOOKUP(A450,מחירון!A:G,6,)*B450,"")</f>
        <v/>
      </c>
    </row>
    <row r="451" spans="3:4" x14ac:dyDescent="0.25">
      <c r="C451" t="str">
        <f>IFERROR(VLOOKUP(A451,מחירון!A:F,5,),"")</f>
        <v/>
      </c>
      <c r="D451" s="17" t="str">
        <f>IFERROR(VLOOKUP(A451,מחירון!A:G,6,)*B451,"")</f>
        <v/>
      </c>
    </row>
    <row r="452" spans="3:4" x14ac:dyDescent="0.25">
      <c r="C452" t="str">
        <f>IFERROR(VLOOKUP(A452,מחירון!A:F,5,),"")</f>
        <v/>
      </c>
      <c r="D452" s="17" t="str">
        <f>IFERROR(VLOOKUP(A452,מחירון!A:G,6,)*B452,"")</f>
        <v/>
      </c>
    </row>
    <row r="453" spans="3:4" x14ac:dyDescent="0.25">
      <c r="C453" t="str">
        <f>IFERROR(VLOOKUP(A453,מחירון!A:F,5,),"")</f>
        <v/>
      </c>
      <c r="D453" s="17" t="str">
        <f>IFERROR(VLOOKUP(A453,מחירון!A:G,6,)*B453,"")</f>
        <v/>
      </c>
    </row>
    <row r="454" spans="3:4" x14ac:dyDescent="0.25">
      <c r="C454" t="str">
        <f>IFERROR(VLOOKUP(A454,מחירון!A:F,5,),"")</f>
        <v/>
      </c>
      <c r="D454" s="17" t="str">
        <f>IFERROR(VLOOKUP(A454,מחירון!A:G,6,)*B454,"")</f>
        <v/>
      </c>
    </row>
    <row r="455" spans="3:4" x14ac:dyDescent="0.25">
      <c r="C455" t="str">
        <f>IFERROR(VLOOKUP(A455,מחירון!A:F,5,),"")</f>
        <v/>
      </c>
      <c r="D455" s="17" t="str">
        <f>IFERROR(VLOOKUP(A455,מחירון!A:G,6,)*B455,"")</f>
        <v/>
      </c>
    </row>
    <row r="456" spans="3:4" x14ac:dyDescent="0.25">
      <c r="C456" t="str">
        <f>IFERROR(VLOOKUP(A456,מחירון!A:F,5,),"")</f>
        <v/>
      </c>
      <c r="D456" s="17" t="str">
        <f>IFERROR(VLOOKUP(A456,מחירון!A:G,6,)*B456,"")</f>
        <v/>
      </c>
    </row>
    <row r="457" spans="3:4" x14ac:dyDescent="0.25">
      <c r="C457" t="str">
        <f>IFERROR(VLOOKUP(A457,מחירון!A:F,5,),"")</f>
        <v/>
      </c>
      <c r="D457" s="17" t="str">
        <f>IFERROR(VLOOKUP(A457,מחירון!A:G,6,)*B457,"")</f>
        <v/>
      </c>
    </row>
    <row r="458" spans="3:4" x14ac:dyDescent="0.25">
      <c r="C458" t="str">
        <f>IFERROR(VLOOKUP(A458,מחירון!A:F,5,),"")</f>
        <v/>
      </c>
      <c r="D458" s="17" t="str">
        <f>IFERROR(VLOOKUP(A458,מחירון!A:G,6,)*B458,"")</f>
        <v/>
      </c>
    </row>
    <row r="459" spans="3:4" x14ac:dyDescent="0.25">
      <c r="C459" t="str">
        <f>IFERROR(VLOOKUP(A459,מחירון!A:F,5,),"")</f>
        <v/>
      </c>
      <c r="D459" s="17" t="str">
        <f>IFERROR(VLOOKUP(A459,מחירון!A:G,6,)*B459,"")</f>
        <v/>
      </c>
    </row>
    <row r="460" spans="3:4" x14ac:dyDescent="0.25">
      <c r="C460" t="str">
        <f>IFERROR(VLOOKUP(A460,מחירון!A:F,5,),"")</f>
        <v/>
      </c>
      <c r="D460" s="17" t="str">
        <f>IFERROR(VLOOKUP(A460,מחירון!A:G,6,)*B460,"")</f>
        <v/>
      </c>
    </row>
    <row r="461" spans="3:4" x14ac:dyDescent="0.25">
      <c r="C461" t="str">
        <f>IFERROR(VLOOKUP(A461,מחירון!A:F,5,),"")</f>
        <v/>
      </c>
      <c r="D461" s="17" t="str">
        <f>IFERROR(VLOOKUP(A461,מחירון!A:G,6,)*B461,"")</f>
        <v/>
      </c>
    </row>
    <row r="462" spans="3:4" x14ac:dyDescent="0.25">
      <c r="C462" t="str">
        <f>IFERROR(VLOOKUP(A462,מחירון!A:F,5,),"")</f>
        <v/>
      </c>
      <c r="D462" s="17" t="str">
        <f>IFERROR(VLOOKUP(A462,מחירון!A:G,6,)*B462,"")</f>
        <v/>
      </c>
    </row>
    <row r="463" spans="3:4" x14ac:dyDescent="0.25">
      <c r="C463" t="str">
        <f>IFERROR(VLOOKUP(A463,מחירון!A:F,5,),"")</f>
        <v/>
      </c>
      <c r="D463" s="17" t="str">
        <f>IFERROR(VLOOKUP(A463,מחירון!A:G,6,)*B463,"")</f>
        <v/>
      </c>
    </row>
    <row r="464" spans="3:4" x14ac:dyDescent="0.25">
      <c r="C464" t="str">
        <f>IFERROR(VLOOKUP(A464,מחירון!A:F,5,),"")</f>
        <v/>
      </c>
      <c r="D464" s="17" t="str">
        <f>IFERROR(VLOOKUP(A464,מחירון!A:G,6,)*B464,"")</f>
        <v/>
      </c>
    </row>
    <row r="465" spans="3:4" x14ac:dyDescent="0.25">
      <c r="C465" t="str">
        <f>IFERROR(VLOOKUP(A465,מחירון!A:F,5,),"")</f>
        <v/>
      </c>
      <c r="D465" s="17" t="str">
        <f>IFERROR(VLOOKUP(A465,מחירון!A:G,6,)*B465,"")</f>
        <v/>
      </c>
    </row>
    <row r="466" spans="3:4" x14ac:dyDescent="0.25">
      <c r="C466" t="str">
        <f>IFERROR(VLOOKUP(A466,מחירון!A:F,5,),"")</f>
        <v/>
      </c>
      <c r="D466" s="17" t="str">
        <f>IFERROR(VLOOKUP(A466,מחירון!A:G,6,)*B466,"")</f>
        <v/>
      </c>
    </row>
    <row r="467" spans="3:4" x14ac:dyDescent="0.25">
      <c r="C467" t="str">
        <f>IFERROR(VLOOKUP(A467,מחירון!A:F,5,),"")</f>
        <v/>
      </c>
      <c r="D467" s="17" t="str">
        <f>IFERROR(VLOOKUP(A467,מחירון!A:G,6,)*B467,"")</f>
        <v/>
      </c>
    </row>
    <row r="468" spans="3:4" x14ac:dyDescent="0.25">
      <c r="C468" t="str">
        <f>IFERROR(VLOOKUP(A468,מחירון!A:F,5,),"")</f>
        <v/>
      </c>
      <c r="D468" s="17" t="str">
        <f>IFERROR(VLOOKUP(A468,מחירון!A:G,6,)*B468,"")</f>
        <v/>
      </c>
    </row>
    <row r="469" spans="3:4" x14ac:dyDescent="0.25">
      <c r="C469" t="str">
        <f>IFERROR(VLOOKUP(A469,מחירון!A:F,5,),"")</f>
        <v/>
      </c>
      <c r="D469" s="17" t="str">
        <f>IFERROR(VLOOKUP(A469,מחירון!A:G,6,)*B469,"")</f>
        <v/>
      </c>
    </row>
    <row r="470" spans="3:4" x14ac:dyDescent="0.25">
      <c r="C470" t="str">
        <f>IFERROR(VLOOKUP(A470,מחירון!A:F,5,),"")</f>
        <v/>
      </c>
      <c r="D470" s="17" t="str">
        <f>IFERROR(VLOOKUP(A470,מחירון!A:G,6,)*B470,"")</f>
        <v/>
      </c>
    </row>
    <row r="471" spans="3:4" x14ac:dyDescent="0.25">
      <c r="C471" t="str">
        <f>IFERROR(VLOOKUP(A471,מחירון!A:F,5,),"")</f>
        <v/>
      </c>
      <c r="D471" s="17" t="str">
        <f>IFERROR(VLOOKUP(A471,מחירון!A:G,6,)*B471,"")</f>
        <v/>
      </c>
    </row>
    <row r="472" spans="3:4" x14ac:dyDescent="0.25">
      <c r="C472" t="str">
        <f>IFERROR(VLOOKUP(A472,מחירון!A:F,5,),"")</f>
        <v/>
      </c>
      <c r="D472" s="17" t="str">
        <f>IFERROR(VLOOKUP(A472,מחירון!A:G,6,)*B472,"")</f>
        <v/>
      </c>
    </row>
    <row r="473" spans="3:4" x14ac:dyDescent="0.25">
      <c r="C473" t="str">
        <f>IFERROR(VLOOKUP(A473,מחירון!A:F,5,),"")</f>
        <v/>
      </c>
      <c r="D473" s="17" t="str">
        <f>IFERROR(VLOOKUP(A473,מחירון!A:G,6,)*B473,"")</f>
        <v/>
      </c>
    </row>
    <row r="474" spans="3:4" x14ac:dyDescent="0.25">
      <c r="C474" t="str">
        <f>IFERROR(VLOOKUP(A474,מחירון!A:F,5,),"")</f>
        <v/>
      </c>
      <c r="D474" s="17" t="str">
        <f>IFERROR(VLOOKUP(A474,מחירון!A:G,6,)*B474,"")</f>
        <v/>
      </c>
    </row>
    <row r="475" spans="3:4" x14ac:dyDescent="0.25">
      <c r="C475" t="str">
        <f>IFERROR(VLOOKUP(A475,מחירון!A:F,5,),"")</f>
        <v/>
      </c>
      <c r="D475" s="17" t="str">
        <f>IFERROR(VLOOKUP(A475,מחירון!A:G,6,)*B475,"")</f>
        <v/>
      </c>
    </row>
    <row r="476" spans="3:4" x14ac:dyDescent="0.25">
      <c r="C476" t="str">
        <f>IFERROR(VLOOKUP(A476,מחירון!A:F,5,),"")</f>
        <v/>
      </c>
      <c r="D476" s="17" t="str">
        <f>IFERROR(VLOOKUP(A476,מחירון!A:G,6,)*B476,"")</f>
        <v/>
      </c>
    </row>
    <row r="477" spans="3:4" x14ac:dyDescent="0.25">
      <c r="C477" t="str">
        <f>IFERROR(VLOOKUP(A477,מחירון!A:F,5,),"")</f>
        <v/>
      </c>
      <c r="D477" s="17" t="str">
        <f>IFERROR(VLOOKUP(A477,מחירון!A:G,6,)*B477,"")</f>
        <v/>
      </c>
    </row>
    <row r="478" spans="3:4" x14ac:dyDescent="0.25">
      <c r="C478" t="str">
        <f>IFERROR(VLOOKUP(A478,מחירון!A:F,5,),"")</f>
        <v/>
      </c>
      <c r="D478" s="17" t="str">
        <f>IFERROR(VLOOKUP(A478,מחירון!A:G,6,)*B478,"")</f>
        <v/>
      </c>
    </row>
    <row r="479" spans="3:4" x14ac:dyDescent="0.25">
      <c r="C479" t="str">
        <f>IFERROR(VLOOKUP(A479,מחירון!A:F,5,),"")</f>
        <v/>
      </c>
      <c r="D479" s="17" t="str">
        <f>IFERROR(VLOOKUP(A479,מחירון!A:G,6,)*B479,"")</f>
        <v/>
      </c>
    </row>
    <row r="480" spans="3:4" x14ac:dyDescent="0.25">
      <c r="C480" t="str">
        <f>IFERROR(VLOOKUP(A480,מחירון!A:F,5,),"")</f>
        <v/>
      </c>
      <c r="D480" s="17" t="str">
        <f>IFERROR(VLOOKUP(A480,מחירון!A:G,6,)*B480,"")</f>
        <v/>
      </c>
    </row>
    <row r="481" spans="3:4" x14ac:dyDescent="0.25">
      <c r="C481" t="str">
        <f>IFERROR(VLOOKUP(A481,מחירון!A:F,5,),"")</f>
        <v/>
      </c>
      <c r="D481" s="17" t="str">
        <f>IFERROR(VLOOKUP(A481,מחירון!A:G,6,)*B481,"")</f>
        <v/>
      </c>
    </row>
    <row r="482" spans="3:4" x14ac:dyDescent="0.25">
      <c r="C482" t="str">
        <f>IFERROR(VLOOKUP(A482,מחירון!A:F,5,),"")</f>
        <v/>
      </c>
      <c r="D482" s="17" t="str">
        <f>IFERROR(VLOOKUP(A482,מחירון!A:G,6,)*B482,"")</f>
        <v/>
      </c>
    </row>
    <row r="483" spans="3:4" x14ac:dyDescent="0.25">
      <c r="C483" t="str">
        <f>IFERROR(VLOOKUP(A483,מחירון!A:F,5,),"")</f>
        <v/>
      </c>
      <c r="D483" s="17" t="str">
        <f>IFERROR(VLOOKUP(A483,מחירון!A:G,6,)*B483,"")</f>
        <v/>
      </c>
    </row>
    <row r="484" spans="3:4" x14ac:dyDescent="0.25">
      <c r="C484" t="str">
        <f>IFERROR(VLOOKUP(A484,מחירון!A:F,5,),"")</f>
        <v/>
      </c>
      <c r="D484" s="17" t="str">
        <f>IFERROR(VLOOKUP(A484,מחירון!A:G,6,)*B484,"")</f>
        <v/>
      </c>
    </row>
    <row r="485" spans="3:4" x14ac:dyDescent="0.25">
      <c r="C485" t="str">
        <f>IFERROR(VLOOKUP(A485,מחירון!A:F,5,),"")</f>
        <v/>
      </c>
      <c r="D485" s="17" t="str">
        <f>IFERROR(VLOOKUP(A485,מחירון!A:G,6,)*B485,"")</f>
        <v/>
      </c>
    </row>
    <row r="486" spans="3:4" x14ac:dyDescent="0.25">
      <c r="C486" t="str">
        <f>IFERROR(VLOOKUP(A486,מחירון!A:F,5,),"")</f>
        <v/>
      </c>
      <c r="D486" s="17" t="str">
        <f>IFERROR(VLOOKUP(A486,מחירון!A:G,6,)*B486,"")</f>
        <v/>
      </c>
    </row>
    <row r="487" spans="3:4" x14ac:dyDescent="0.25">
      <c r="C487" t="str">
        <f>IFERROR(VLOOKUP(A487,מחירון!A:F,5,),"")</f>
        <v/>
      </c>
      <c r="D487" s="17" t="str">
        <f>IFERROR(VLOOKUP(A487,מחירון!A:G,6,)*B487,"")</f>
        <v/>
      </c>
    </row>
    <row r="488" spans="3:4" x14ac:dyDescent="0.25">
      <c r="C488" t="str">
        <f>IFERROR(VLOOKUP(A488,מחירון!A:F,5,),"")</f>
        <v/>
      </c>
      <c r="D488" s="17" t="str">
        <f>IFERROR(VLOOKUP(A488,מחירון!A:G,6,)*B488,"")</f>
        <v/>
      </c>
    </row>
    <row r="489" spans="3:4" x14ac:dyDescent="0.25">
      <c r="C489" t="str">
        <f>IFERROR(VLOOKUP(A489,מחירון!A:F,5,),"")</f>
        <v/>
      </c>
      <c r="D489" t="str">
        <f>IFERROR(VLOOKUP(A489,מחירון!A:G,6,)*B489,"")</f>
        <v/>
      </c>
    </row>
    <row r="490" spans="3:4" x14ac:dyDescent="0.25">
      <c r="C490" t="str">
        <f>IFERROR(VLOOKUP(A490,מחירון!A:F,5,),"")</f>
        <v/>
      </c>
      <c r="D490" t="str">
        <f>IFERROR(VLOOKUP(A490,מחירון!A:G,6,)*B490,"")</f>
        <v/>
      </c>
    </row>
    <row r="491" spans="3:4" x14ac:dyDescent="0.25">
      <c r="C491" t="str">
        <f>IFERROR(VLOOKUP(A491,מחירון!A:F,5,),"")</f>
        <v/>
      </c>
      <c r="D491" t="str">
        <f>IFERROR(VLOOKUP(A491,מחירון!A:G,6,)*B491,"")</f>
        <v/>
      </c>
    </row>
    <row r="492" spans="3:4" x14ac:dyDescent="0.25">
      <c r="C492" t="str">
        <f>IFERROR(VLOOKUP(A492,מחירון!A:F,5,),"")</f>
        <v/>
      </c>
      <c r="D492" t="str">
        <f>IFERROR(VLOOKUP(A492,מחירון!A:G,6,)*B492,"")</f>
        <v/>
      </c>
    </row>
    <row r="493" spans="3:4" x14ac:dyDescent="0.25">
      <c r="C493" t="str">
        <f>IFERROR(VLOOKUP(A493,מחירון!A:F,5,),"")</f>
        <v/>
      </c>
      <c r="D493" t="str">
        <f>IFERROR(VLOOKUP(A493,מחירון!A:G,6,)*B493,"")</f>
        <v/>
      </c>
    </row>
    <row r="494" spans="3:4" x14ac:dyDescent="0.25">
      <c r="C494" t="str">
        <f>IFERROR(VLOOKUP(A494,מחירון!A:F,5,),"")</f>
        <v/>
      </c>
      <c r="D494" t="str">
        <f>IFERROR(VLOOKUP(A494,מחירון!A:G,6,)*B494,"")</f>
        <v/>
      </c>
    </row>
    <row r="495" spans="3:4" x14ac:dyDescent="0.25">
      <c r="C495" t="str">
        <f>IFERROR(VLOOKUP(A495,מחירון!A:F,5,),"")</f>
        <v/>
      </c>
    </row>
    <row r="496" spans="3:4" x14ac:dyDescent="0.25">
      <c r="C496" t="str">
        <f>IFERROR(VLOOKUP(A496,מחירון!A:F,5,),"")</f>
        <v/>
      </c>
    </row>
    <row r="497" spans="3:3" x14ac:dyDescent="0.25">
      <c r="C497" t="str">
        <f>IFERROR(VLOOKUP(A497,מחירון!A:F,5,),"")</f>
        <v/>
      </c>
    </row>
    <row r="498" spans="3:3" x14ac:dyDescent="0.25">
      <c r="C498" t="str">
        <f>IFERROR(VLOOKUP(A498,מחירון!A:F,5,),"")</f>
        <v/>
      </c>
    </row>
    <row r="499" spans="3:3" x14ac:dyDescent="0.25">
      <c r="C499" t="str">
        <f>IFERROR(VLOOKUP(A499,מחירון!A:F,5,),"")</f>
        <v/>
      </c>
    </row>
    <row r="500" spans="3:3" x14ac:dyDescent="0.25">
      <c r="C500" t="str">
        <f>IFERROR(VLOOKUP(A500,מחירון!A:F,5,),"")</f>
        <v/>
      </c>
    </row>
  </sheetData>
  <sheetProtection algorithmName="SHA-512" hashValue="iRGiK1EI0ubSu6fo3Rx8vQoL3iX9LLfAY2IgUUCcgoxeYGJCdWFitXCWQN901HtA9kOdN5y1J7QqxVKKT5xtCQ==" saltValue="oOG2wiKx50fhGgubF/4NeA==" spinCount="100000" sheet="1" objects="1" scenarios="1"/>
  <mergeCells count="16">
    <mergeCell ref="A3:B3"/>
    <mergeCell ref="J3:K3"/>
    <mergeCell ref="J4:K5"/>
    <mergeCell ref="H3:I3"/>
    <mergeCell ref="H4:I5"/>
    <mergeCell ref="G4:G5"/>
    <mergeCell ref="A4:B4"/>
    <mergeCell ref="J6:K7"/>
    <mergeCell ref="G11:G12"/>
    <mergeCell ref="G13:G14"/>
    <mergeCell ref="G15:G16"/>
    <mergeCell ref="H11:I12"/>
    <mergeCell ref="H13:I14"/>
    <mergeCell ref="H15:I16"/>
    <mergeCell ref="G6:G7"/>
    <mergeCell ref="H6:I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1ACBD8-38ED-4ABC-9528-F15243431B94}">
          <x14:formula1>
            <xm:f>מחירון!$A$2:$A$619</xm:f>
          </x14:formula1>
          <xm:sqref>A12:A466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בית</vt:lpstr>
      <vt:lpstr>מחירון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BEN</cp:lastModifiedBy>
  <dcterms:created xsi:type="dcterms:W3CDTF">2022-06-25T07:18:35Z</dcterms:created>
  <dcterms:modified xsi:type="dcterms:W3CDTF">2022-12-07T14:27:42Z</dcterms:modified>
</cp:coreProperties>
</file>